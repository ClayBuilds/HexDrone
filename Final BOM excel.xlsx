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definedNames>
    <definedName function="false" hidden="true" localSheetId="0" name="_xlnm._FilterDatabase" vbProcedure="false">BOM!$A$7:$T$67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<sst xmlns="http://schemas.openxmlformats.org/spreadsheetml/2006/main" count="787" uniqueCount="321">
  <si>
    <t xml:space="preserve">HEX DRONE — BILL OF MATERIALS</t>
  </si>
  <si>
    <t xml:space="preserve">Corrected copy of BOM2.ods · revised 2026-08-05</t>
  </si>
  <si>
    <t xml:space="preserve">Total Cost</t>
  </si>
  <si>
    <t xml:space="preserve">Flying Weight (lb)</t>
  </si>
  <si>
    <t xml:space="preserve">Buoyancy — All Floats (lb)</t>
  </si>
  <si>
    <t xml:space="preserve">Max estimate. Counts whole sheets, tubes and filament spools of raw stock rather than the fraction used, full fastener packs where only a few are needed, and ground gear that never flies — transmitter, goggles, ground radio, case and foam, end mills. Actual spend on the flying aircraft is lower.</t>
  </si>
  <si>
    <t xml:space="preserve">IDENTIFICATION</t>
  </si>
  <si>
    <t xml:space="preserve">QUANTITY &amp; STRUCTURE</t>
  </si>
  <si>
    <t xml:space="preserve">MASS &amp; BUOYANCY</t>
  </si>
  <si>
    <t xml:space="preserve">COST</t>
  </si>
  <si>
    <t xml:space="preserve">SOURCING &amp; NOTES</t>
  </si>
  <si>
    <t xml:space="preserve">Item #</t>
  </si>
  <si>
    <t xml:space="preserve">My P/N</t>
  </si>
  <si>
    <t xml:space="preserve">Manufacturer</t>
  </si>
  <si>
    <t xml:space="preserve">Manuf P/N</t>
  </si>
  <si>
    <t xml:space="preserve">Name</t>
  </si>
  <si>
    <t xml:space="preserve">Description</t>
  </si>
  <si>
    <t xml:space="preserve">Qty per
Next Assy</t>
  </si>
  <si>
    <t xml:space="preserve">Total
Qty</t>
  </si>
  <si>
    <t xml:space="preserve">Next
Assy</t>
  </si>
  <si>
    <t xml:space="preserve">Count
weight?</t>
  </si>
  <si>
    <t xml:space="preserve">Weight Ea.
(oz)</t>
  </si>
  <si>
    <t xml:space="preserve">Weight Total
(lb)</t>
  </si>
  <si>
    <t xml:space="preserve">Buoyancy Total
(lb)</t>
  </si>
  <si>
    <t xml:space="preserve">Count
cost?</t>
  </si>
  <si>
    <t xml:space="preserve">Cost Ea.
($ per purchase)</t>
  </si>
  <si>
    <t xml:space="preserve">Pack Qty
(1 if not a pack)</t>
  </si>
  <si>
    <t xml:space="preserve">Total Cost
($USD)</t>
  </si>
  <si>
    <t xml:space="preserve">Source</t>
  </si>
  <si>
    <t xml:space="preserve">Link</t>
  </si>
  <si>
    <t xml:space="preserve">Notes</t>
  </si>
  <si>
    <t xml:space="preserve">HD0000</t>
  </si>
  <si>
    <t xml:space="preserve">-</t>
  </si>
  <si>
    <t xml:space="preserve">N/A</t>
  </si>
  <si>
    <t xml:space="preserve">Hex Drone Main Assembly</t>
  </si>
  <si>
    <t xml:space="preserve">Full assembly — roll-up row</t>
  </si>
  <si>
    <t xml:space="preserve">Totals below sum every row in the table. Rows flagged “n” in the count columns are excluded on purpose.</t>
  </si>
  <si>
    <t xml:space="preserve">HD0001</t>
  </si>
  <si>
    <t xml:space="preserve">3DR</t>
  </si>
  <si>
    <t xml:space="preserve">Unknown</t>
  </si>
  <si>
    <t xml:space="preserve">Motor</t>
  </si>
  <si>
    <t xml:space="preserve">3-phase brushless DC, unknown origin</t>
  </si>
  <si>
    <t xml:space="preserve">HD0024</t>
  </si>
  <si>
    <t xml:space="preserve">y</t>
  </si>
  <si>
    <t xml:space="preserve">eBay (used)</t>
  </si>
  <si>
    <t xml:space="preserve">Came with 3DR drone parts. Weight includes prop nut.</t>
  </si>
  <si>
    <t xml:space="preserve">HD0002</t>
  </si>
  <si>
    <t xml:space="preserve">ESC</t>
  </si>
  <si>
    <t xml:space="preserve">3-phase BLDC ESC, 20 A, 1200–1800 µs, with 5 V BEC</t>
  </si>
  <si>
    <t xml:space="preserve">n</t>
  </si>
  <si>
    <t xml:space="preserve">Superseded — no longer used, replaced by the Lumenier Razor Pro below. Came with 3DR drone parts. Excluded from both totals.</t>
  </si>
  <si>
    <t xml:space="preserve">Lumenier</t>
  </si>
  <si>
    <t xml:space="preserve">22300</t>
  </si>
  <si>
    <t xml:space="preserve">Razor Pro F4 45 A 2–6S AM32 ESC</t>
  </si>
  <si>
    <t xml:space="preserve">lumenier.com</t>
  </si>
  <si>
    <t xml:space="preserve">Weight includes capacitor (bare spec is 3 g).</t>
  </si>
  <si>
    <t xml:space="preserve">HD0003</t>
  </si>
  <si>
    <t xml:space="preserve">APC</t>
  </si>
  <si>
    <t xml:space="preserve">LP10047SFP</t>
  </si>
  <si>
    <t xml:space="preserve">Propeller</t>
  </si>
  <si>
    <t xml:space="preserve">10x4.7 SFP slow flyer pusher, plastic</t>
  </si>
  <si>
    <t xml:space="preserve">apcprop.com/10x4-7sf-b4</t>
  </si>
  <si>
    <t xml:space="preserve">Came with 3DR drone parts. APC spec weight is 0.42 oz; 0.38 oz measured. Link is the LP10047SF-B4 four-pack.</t>
  </si>
  <si>
    <t xml:space="preserve">HD0004</t>
  </si>
  <si>
    <t xml:space="preserve">mRobotics</t>
  </si>
  <si>
    <t xml:space="preserve">M10048D</t>
  </si>
  <si>
    <t xml:space="preserve">Flight Controller</t>
  </si>
  <si>
    <t xml:space="preserve">mRo Control Zero Classic autopilot</t>
  </si>
  <si>
    <t xml:space="preserve">store.3dr.com</t>
  </si>
  <si>
    <t xml:space="preserve">Came with old mRo stuff. mRobotics board, sold through the 3DR store.</t>
  </si>
  <si>
    <t xml:space="preserve">HD0005</t>
  </si>
  <si>
    <t xml:space="preserve">M10026A</t>
  </si>
  <si>
    <t xml:space="preserve">Power Module</t>
  </si>
  <si>
    <t xml:space="preserve">mRo ACSP4 — 120 A current sensing, 42 V max, 5 V and 12 V 3 A BEC</t>
  </si>
  <si>
    <t xml:space="preserve">docs.mrobotics.io/acsp4.html</t>
  </si>
  <si>
    <t xml:space="preserve">Came with old mRo stuff.</t>
  </si>
  <si>
    <t xml:space="preserve">HD0006</t>
  </si>
  <si>
    <t xml:space="preserve">CKHM 2130</t>
  </si>
  <si>
    <t xml:space="preserve">Capacitor</t>
  </si>
  <si>
    <t xml:space="preserve">220 µF 63 V electrolytic capacitor</t>
  </si>
  <si>
    <t xml:space="preserve">HD0007</t>
  </si>
  <si>
    <t xml:space="preserve">GPS Module</t>
  </si>
  <si>
    <t xml:space="preserve">Generic Pixhawk GPS with compass, u-blox M8N</t>
  </si>
  <si>
    <t xml:space="preserve">Came with old Pixhawk stuff.</t>
  </si>
  <si>
    <t xml:space="preserve">HD0008</t>
  </si>
  <si>
    <t xml:space="preserve">Telemetry Radio (Air)</t>
  </si>
  <si>
    <t xml:space="preserve">915 MHz air radio, generic Pixhawk SiK style, 6-pin, with antenna and cable</t>
  </si>
  <si>
    <t xml:space="preserve">Came with old Pixhawk stuff. Weight includes cable.</t>
  </si>
  <si>
    <t xml:space="preserve">HD0009</t>
  </si>
  <si>
    <t xml:space="preserve">Telemetry Radio (Ground)</t>
  </si>
  <si>
    <t xml:space="preserve">915 MHz ground radio, generic Pixhawk SiK style, USB</t>
  </si>
  <si>
    <t xml:space="preserve">Came with old Pixhawk stuff. Ground station equipment — does not fly, so weight is excluded but cost is counted.</t>
  </si>
  <si>
    <t xml:space="preserve">HD0010</t>
  </si>
  <si>
    <t xml:space="preserve">Radiomaster</t>
  </si>
  <si>
    <t xml:space="preserve">HP0157.RX-RP4TD</t>
  </si>
  <si>
    <t xml:space="preserve">RC Receiver</t>
  </si>
  <si>
    <t xml:space="preserve">ExpressLRS 2.4 GHz diversity receiver</t>
  </si>
  <si>
    <t xml:space="preserve">radiomasterrc.com</t>
  </si>
  <si>
    <t xml:space="preserve">Weight includes antennas (bare spec 1.4 g).</t>
  </si>
  <si>
    <t xml:space="preserve">HD0011</t>
  </si>
  <si>
    <t xml:space="preserve">HP0157.0054-M2</t>
  </si>
  <si>
    <t xml:space="preserve">Radio Transmitter</t>
  </si>
  <si>
    <t xml:space="preserve">Pocket Radio ELRS M2, FCC</t>
  </si>
  <si>
    <t xml:space="preserve">Ground station equipment — does not fly, weight excluded, cost counted.</t>
  </si>
  <si>
    <t xml:space="preserve">HD0012</t>
  </si>
  <si>
    <t xml:space="preserve">SpeedyBee</t>
  </si>
  <si>
    <t xml:space="preserve">16867</t>
  </si>
  <si>
    <t xml:space="preserve">VTX</t>
  </si>
  <si>
    <t xml:space="preserve">SpeedyBee TX800 20×20 mm, 25–800 mW 5.8 GHz, MMCX</t>
  </si>
  <si>
    <t xml:space="preserve">RaceDayQuads</t>
  </si>
  <si>
    <t xml:space="preserve">racedayquads.com</t>
  </si>
  <si>
    <t xml:space="preserve">Spec weight 5.6 g (0.20 oz).</t>
  </si>
  <si>
    <t xml:space="preserve">HD0013</t>
  </si>
  <si>
    <t xml:space="preserve">Eachine</t>
  </si>
  <si>
    <t xml:space="preserve">17679</t>
  </si>
  <si>
    <t xml:space="preserve">FPV Goggles</t>
  </si>
  <si>
    <t xml:space="preserve">EV800D 5.8 GHz 40CH diversity FPV goggles with DVR</t>
  </si>
  <si>
    <t xml:space="preserve">HD0014</t>
  </si>
  <si>
    <t xml:space="preserve">Caddx</t>
  </si>
  <si>
    <t xml:space="preserve">15890</t>
  </si>
  <si>
    <t xml:space="preserve">FPV Camera</t>
  </si>
  <si>
    <t xml:space="preserve">Baby Ratel 2, 1200 TVL CMOS, 4:3 / 16:9, NTSC/PAL, 1.8 mm, black</t>
  </si>
  <si>
    <t xml:space="preserve">Spec weight 3 g (0.11 oz)</t>
  </si>
  <si>
    <t xml:space="preserve">HD0015</t>
  </si>
  <si>
    <t xml:space="preserve">McMaster-Carr</t>
  </si>
  <si>
    <t xml:space="preserve">4083A11</t>
  </si>
  <si>
    <t xml:space="preserve">End Mill</t>
  </si>
  <si>
    <t xml:space="preserve">Diamond-like carbon-coated carbide end mill, square end, 2 flute, 1/16" dia, 1-1/2" OAL</t>
  </si>
  <si>
    <t xml:space="preserve">mcmaster.com/4083A11</t>
  </si>
  <si>
    <t xml:space="preserve">Tooling for cutting out the carbon fiber sheets — does not fly, weight excluded, cost counted.</t>
  </si>
  <si>
    <t xml:space="preserve">HD0016</t>
  </si>
  <si>
    <t xml:space="preserve">3035T12</t>
  </si>
  <si>
    <t xml:space="preserve">Aluminum U-Bolt</t>
  </si>
  <si>
    <t xml:space="preserve">1/4"-20 thread size, 1" ID</t>
  </si>
  <si>
    <t xml:space="preserve">mcmaster.com/3035T12</t>
  </si>
  <si>
    <t xml:space="preserve">Weighed at 0.018 lb (0.288 oz) each. Clamps each arm tube to the frame.</t>
  </si>
  <si>
    <t xml:space="preserve">HD0017</t>
  </si>
  <si>
    <t xml:space="preserve">93886A140</t>
  </si>
  <si>
    <t xml:space="preserve">Thumb Nut</t>
  </si>
  <si>
    <t xml:space="preserve">1/4"-20 thread size, 3/4" head diameter</t>
  </si>
  <si>
    <t xml:space="preserve">mcmaster.com/93886A140</t>
  </si>
  <si>
    <t xml:space="preserve">Sold in packs of 10. 12 nuts require 2 packs.</t>
  </si>
  <si>
    <t xml:space="preserve">HD0018</t>
  </si>
  <si>
    <t xml:space="preserve">DragonPlate</t>
  </si>
  <si>
    <t xml:space="preserve">FEPL02T*90*1212</t>
  </si>
  <si>
    <t xml:space="preserve">Carbon Fiber Sheet</t>
  </si>
  <si>
    <t xml:space="preserve">EconomyPlate solid carbon fiber sheet, 1/16" × 12" × 12"</t>
  </si>
  <si>
    <t xml:space="preserve">dragonplate.com</t>
  </si>
  <si>
    <t xml:space="preserve">Raw stock — weight excluded because the finished parts (HD0020–HD0022, HD0041) are counted individually; cost is counted here once.</t>
  </si>
  <si>
    <t xml:space="preserve">HD0019</t>
  </si>
  <si>
    <t xml:space="preserve">FDPT.875*1.0*24</t>
  </si>
  <si>
    <t xml:space="preserve">Carbon Fiber Tube</t>
  </si>
  <si>
    <t xml:space="preserve">Roll-wrapped twill tube, 0.875" ID × 1.0" OD × 24", gloss finish</t>
  </si>
  <si>
    <t xml:space="preserve">Raw stock — weight excluded because the arms (HD0042) are counted individually; cost is counted here once. DragonPlate lists 0.257 lb (4.11 oz) each.</t>
  </si>
  <si>
    <t xml:space="preserve">HD0020</t>
  </si>
  <si>
    <t xml:space="preserve">Me</t>
  </si>
  <si>
    <t xml:space="preserve">Middle Frame Plate</t>
  </si>
  <si>
    <t xml:space="preserve">Carbon fiber, cut from HD0018</t>
  </si>
  <si>
    <t xml:space="preserve">HD0023</t>
  </si>
  <si>
    <t xml:space="preserve">Made in-house</t>
  </si>
  <si>
    <t xml:space="preserve">Cost accounted for in the raw material stock (HD0018).</t>
  </si>
  <si>
    <t xml:space="preserve">HD0021</t>
  </si>
  <si>
    <t xml:space="preserve">Upper Frame Plate</t>
  </si>
  <si>
    <t xml:space="preserve">HD0022</t>
  </si>
  <si>
    <t xml:space="preserve">Lower Frame Plate</t>
  </si>
  <si>
    <t xml:space="preserve">Frame Assembly</t>
  </si>
  <si>
    <t xml:space="preserve">Whole carbon frame, excluding arms</t>
  </si>
  <si>
    <t xml:space="preserve">Subassembly — cost and weight are accounted for in its subcomponents. Buoyancy assumed from calculated volume/displacement.</t>
  </si>
  <si>
    <t xml:space="preserve">Arm Assembly</t>
  </si>
  <si>
    <t xml:space="preserve">Contains motors, tubes, mounts, etc.</t>
  </si>
  <si>
    <t xml:space="preserve">Subassembly — cost and weight are accounted for in its subcomponents.</t>
  </si>
  <si>
    <t xml:space="preserve">HD0025</t>
  </si>
  <si>
    <t xml:space="preserve">Arm Pivot</t>
  </si>
  <si>
    <t xml:space="preserve">3D printed</t>
  </si>
  <si>
    <t xml:space="preserve">Printed from PETG</t>
  </si>
  <si>
    <t xml:space="preserve">HD0026</t>
  </si>
  <si>
    <t xml:space="preserve">Motor Mount</t>
  </si>
  <si>
    <t xml:space="preserve">HD0027</t>
  </si>
  <si>
    <t xml:space="preserve">95856A245</t>
  </si>
  <si>
    <t xml:space="preserve">1/4-20 Lock Nut</t>
  </si>
  <si>
    <t xml:space="preserve">Aluminum nylon-insert lock nut, 1/4"-20, pack of 25</t>
  </si>
  <si>
    <t xml:space="preserve">mcmaster.com/95856A245</t>
  </si>
  <si>
    <t xml:space="preserve">Weight is per nut, not the whole pack. 6 nuts cost one pack.</t>
  </si>
  <si>
    <t xml:space="preserve">HD0028</t>
  </si>
  <si>
    <t xml:space="preserve">8127A81</t>
  </si>
  <si>
    <t xml:space="preserve">VHB Tape</t>
  </si>
  <si>
    <t xml:space="preserve">Double-sided foam tape, 1/2" wide</t>
  </si>
  <si>
    <t xml:space="preserve">mcmaster.com/8127A81</t>
  </si>
  <si>
    <t xml:space="preserve">Consumable — the small amount used has negligible mass, so weight is excluded.</t>
  </si>
  <si>
    <t xml:space="preserve">HD0029</t>
  </si>
  <si>
    <t xml:space="preserve">93505A103</t>
  </si>
  <si>
    <t xml:space="preserve">Short Standoff</t>
  </si>
  <si>
    <t xml:space="preserve">Male-female threaded hex standoff, aluminum, 3/16" hex, 1/2" long, 4-40 thread</t>
  </si>
  <si>
    <t xml:space="preserve">mcmaster.com/93505A103</t>
  </si>
  <si>
    <t xml:space="preserve">HD0030</t>
  </si>
  <si>
    <t xml:space="preserve">93181A007</t>
  </si>
  <si>
    <t xml:space="preserve">6-32 Nut</t>
  </si>
  <si>
    <t xml:space="preserve">Lightweight 6061 aluminum hex nut, 6-32 thread size</t>
  </si>
  <si>
    <t xml:space="preserve">mcmaster.com/93181A007</t>
  </si>
  <si>
    <t xml:space="preserve">HD0031</t>
  </si>
  <si>
    <t xml:space="preserve">93181A003</t>
  </si>
  <si>
    <t xml:space="preserve">4-40 Nut</t>
  </si>
  <si>
    <t xml:space="preserve">Lightweight 6061 aluminum hex nut, 4-40 thread size</t>
  </si>
  <si>
    <t xml:space="preserve">mcmaster.com/93181A003</t>
  </si>
  <si>
    <t xml:space="preserve">HD0032</t>
  </si>
  <si>
    <t xml:space="preserve">98511A213</t>
  </si>
  <si>
    <t xml:space="preserve">4-40 Screw</t>
  </si>
  <si>
    <t xml:space="preserve">Aluminum socket head screw, 4-40 × 1/4" long, blue anodized</t>
  </si>
  <si>
    <t xml:space="preserve">mcmaster.com/98511A213</t>
  </si>
  <si>
    <t xml:space="preserve">HD0033</t>
  </si>
  <si>
    <t xml:space="preserve">98511A303</t>
  </si>
  <si>
    <t xml:space="preserve">6-32 Screw</t>
  </si>
  <si>
    <t xml:space="preserve">Aluminum socket head screw, 6-32 × 1/4" long, blue anodized</t>
  </si>
  <si>
    <t xml:space="preserve">mcmaster.com/98511A303</t>
  </si>
  <si>
    <t xml:space="preserve">HD0034</t>
  </si>
  <si>
    <t xml:space="preserve">93306A911</t>
  </si>
  <si>
    <t xml:space="preserve">Arm Pivot Bolt</t>
  </si>
  <si>
    <t xml:space="preserve">Hex head screw, 2024 aluminum, 1/4"-20 × 1-3/4" long</t>
  </si>
  <si>
    <t xml:space="preserve">mcmaster.com/93306A911</t>
  </si>
  <si>
    <t xml:space="preserve">HD0035</t>
  </si>
  <si>
    <t xml:space="preserve">93505A446</t>
  </si>
  <si>
    <t xml:space="preserve">Long Standoff</t>
  </si>
  <si>
    <t xml:space="preserve">Male-female threaded hex standoff, aluminum, 1" long, 6-32 thread</t>
  </si>
  <si>
    <t xml:space="preserve">mcmaster.com/93505A446</t>
  </si>
  <si>
    <t xml:space="preserve">HD0036</t>
  </si>
  <si>
    <t xml:space="preserve">FPV Camera Mount</t>
  </si>
  <si>
    <t xml:space="preserve">3D printed, fixed</t>
  </si>
  <si>
    <t xml:space="preserve">HD0037</t>
  </si>
  <si>
    <t xml:space="preserve">Part number not used</t>
  </si>
  <si>
    <t xml:space="preserve">HD0038</t>
  </si>
  <si>
    <t xml:space="preserve">90362A136</t>
  </si>
  <si>
    <t xml:space="preserve">M2 Screws for Camera</t>
  </si>
  <si>
    <t xml:space="preserve">Torx flat head screw, M2, stainless steel, pack of 100</t>
  </si>
  <si>
    <t xml:space="preserve">Already had</t>
  </si>
  <si>
    <t xml:space="preserve">Weight negligible.</t>
  </si>
  <si>
    <t xml:space="preserve">HD0039</t>
  </si>
  <si>
    <t xml:space="preserve">RC Antenna Mount</t>
  </si>
  <si>
    <t xml:space="preserve">3D printed; holds both the receiver and its antennas</t>
  </si>
  <si>
    <t xml:space="preserve">HD0040</t>
  </si>
  <si>
    <t xml:space="preserve">GPS Pedestal</t>
  </si>
  <si>
    <t xml:space="preserve">HD0041</t>
  </si>
  <si>
    <t xml:space="preserve">Frame Gusset</t>
  </si>
  <si>
    <t xml:space="preserve">HD0042</t>
  </si>
  <si>
    <t xml:space="preserve">Arm</t>
  </si>
  <si>
    <t xml:space="preserve">Carbon fiber tube, cut to length from stock HD0019</t>
  </si>
  <si>
    <t xml:space="preserve">Cost accounted for in the raw material stock (HD0019). Buoyancy includes the internal foam and uses the full tube OD, and is the total for all 6 arms (≈ 0.31 lb each).</t>
  </si>
  <si>
    <t xml:space="preserve">HD0043</t>
  </si>
  <si>
    <t xml:space="preserve">ColorFabb</t>
  </si>
  <si>
    <t xml:space="preserve">M-CN2-6S16</t>
  </si>
  <si>
    <t xml:space="preserve">Lightweight Filament</t>
  </si>
  <si>
    <t xml:space="preserve">LW-PLA-HT, white, 1.75 mm, 750 g spool</t>
  </si>
  <si>
    <t xml:space="preserve">MatterHackers</t>
  </si>
  <si>
    <t xml:space="preserve">matterhackers.com/MCN26S16</t>
  </si>
  <si>
    <t xml:space="preserve">Raw material — weight excluded; the printed parts made from it carry their own weight. Cost is counted once here.</t>
  </si>
  <si>
    <t xml:space="preserve">HD0044</t>
  </si>
  <si>
    <t xml:space="preserve">Central Float</t>
  </si>
  <si>
    <t xml:space="preserve">Lightweight PLA shell with foam interior; provides emergency buoyancy</t>
  </si>
  <si>
    <t xml:space="preserve">Printed from HD0043 filament.</t>
  </si>
  <si>
    <t xml:space="preserve">HD0045</t>
  </si>
  <si>
    <t xml:space="preserve">LPARM12SF</t>
  </si>
  <si>
    <t xml:space="preserve">Prop Adapters, Metric</t>
  </si>
  <si>
    <t xml:space="preserve">8 mm to 5 mm adapter rings, 12 sets (3 / 5 / 6 mm)</t>
  </si>
  <si>
    <t xml:space="preserve">apcprop.com</t>
  </si>
  <si>
    <t xml:space="preserve">Ring mass is negligible, so weight is excluded; the set price is counted once.</t>
  </si>
  <si>
    <t xml:space="preserve">HD0046</t>
  </si>
  <si>
    <t xml:space="preserve">Arm Stabilizer</t>
  </si>
  <si>
    <t xml:space="preserve">3D Printed, Provides extra rigidity to the folding arm</t>
  </si>
  <si>
    <t xml:space="preserve">printed, lightweight PLA</t>
  </si>
  <si>
    <t xml:space="preserve">HD0047</t>
  </si>
  <si>
    <t xml:space="preserve">Lectron Pro</t>
  </si>
  <si>
    <t xml:space="preserve">3S5200-50D</t>
  </si>
  <si>
    <t xml:space="preserve">Alternate Battery</t>
  </si>
  <si>
    <t xml:space="preserve">3S LiPo 5200 mAh 50C, Deans connector</t>
  </si>
  <si>
    <t xml:space="preserve">Hobbytown USA</t>
  </si>
  <si>
    <t xml:space="preserve">Weight excluded — the heavier main battery (HD0056) is counted instead. This is the pack counted for cost.</t>
  </si>
  <si>
    <t xml:space="preserve">HD0048</t>
  </si>
  <si>
    <t xml:space="preserve">Pizza Slice Float</t>
  </si>
  <si>
    <t xml:space="preserve">Printed from HD0043 filament; the spool cost is counted once on that row. Buoyancy is the total for all 5 (0.2 lb each).</t>
  </si>
  <si>
    <t xml:space="preserve">HD0049</t>
  </si>
  <si>
    <t xml:space="preserve">Eagle Manufacturing</t>
  </si>
  <si>
    <t xml:space="preserve">1610MBLK</t>
  </si>
  <si>
    <t xml:space="preserve">Cylindrical Container</t>
  </si>
  <si>
    <t xml:space="preserve">14 gal HDPE lab pack drum with metal lever-lock ring — main body of the case assembly</t>
  </si>
  <si>
    <t xml:space="preserve">HD0050</t>
  </si>
  <si>
    <t xml:space="preserve">eagle.justrite.com</t>
  </si>
  <si>
    <t xml:space="preserve">Transport container — does not fly, so weight is excluded; cost is counted like the other ground equipment.</t>
  </si>
  <si>
    <t xml:space="preserve">Case Assembly</t>
  </si>
  <si>
    <t xml:space="preserve">Drone fits inside it for transport</t>
  </si>
  <si>
    <t xml:space="preserve">Subassembly — does not fly, so weight is excluded; cost and weight are accounted for in its components.</t>
  </si>
  <si>
    <t xml:space="preserve">HD0051</t>
  </si>
  <si>
    <t xml:space="preserve">SendCutSend</t>
  </si>
  <si>
    <t xml:space="preserve">10" Ring Foam</t>
  </si>
  <si>
    <t xml:space="preserve">Foam for the case; protects the main drone body</t>
  </si>
  <si>
    <t xml:space="preserve">Cost estimate, custom quote, sliced parts into smaller pieces for cheaper manufacturability. Some manual adjustment required</t>
  </si>
  <si>
    <t xml:space="preserve">HD0052</t>
  </si>
  <si>
    <t xml:space="preserve">Lower Foam Layer</t>
  </si>
  <si>
    <t xml:space="preserve">Foam for the case; supports the motor arm ends</t>
  </si>
  <si>
    <t xml:space="preserve">HD0053</t>
  </si>
  <si>
    <t xml:space="preserve">Bottom Foam</t>
  </si>
  <si>
    <t xml:space="preserve">Bottom foam piece for the case</t>
  </si>
  <si>
    <t xml:space="preserve">HD0054</t>
  </si>
  <si>
    <t xml:space="preserve">Middle Foam</t>
  </si>
  <si>
    <t xml:space="preserve">Foam for the case; goes around the motors</t>
  </si>
  <si>
    <t xml:space="preserve">HD0055</t>
  </si>
  <si>
    <t xml:space="preserve">Top Foam</t>
  </si>
  <si>
    <t xml:space="preserve">Foam for the case; holds down the top of the drone</t>
  </si>
  <si>
    <t xml:space="preserve">HD0056</t>
  </si>
  <si>
    <t xml:space="preserve">MaxAmps</t>
  </si>
  <si>
    <t xml:space="preserve">Lipo-5600-3S2P-Pack-3</t>
  </si>
  <si>
    <t xml:space="preserve">Main Battery</t>
  </si>
  <si>
    <t xml:space="preserve">3S LiPo 5600 mAh (2P)</t>
  </si>
  <si>
    <t xml:space="preserve">maxamps.com</t>
  </si>
  <si>
    <t xml:space="preserve">Weight counted — this is the heavier of the two packs. Buoyancy = pack volume (1.89 × 4.37 × 1.49 in) × 0.036 lb/in³ fresh water.</t>
  </si>
  <si>
    <t xml:space="preserve">HD0057</t>
  </si>
  <si>
    <t xml:space="preserve">Auxiliary Foam Float</t>
  </si>
  <si>
    <t xml:space="preserve">Attached only when flying over water; ensures positive buoyancy. Cut from EPS foam</t>
  </si>
  <si>
    <t xml:space="preserve">Fitted only for over-water flights. Cut from EPS foam; material cost negligible.</t>
  </si>
  <si>
    <t xml:space="preserve">HD0058</t>
  </si>
  <si>
    <t xml:space="preserve">Prop Protector</t>
  </si>
  <si>
    <t xml:space="preserve">3D printed; guides the prop tips into the foam case</t>
  </si>
  <si>
    <t xml:space="preserve">Only used for putting the drone in the case — does not fly, weight excluded.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</si>
</sst>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$-409]#,##0.00"/>
    <numFmt numFmtId="166" formatCode="0.000#"/>
    <numFmt numFmtId="167" formatCode="0.00"/>
    <numFmt numFmtId="168" formatCode="0.00##"/>
  </numFmts>
  <fonts count="15">
    <font>
      <sz val="9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</font>
    <font>
      <sz val="9"/>
      <color rgb="FFBFD1E8"/>
      <name val="Arial"/>
      <family val="0"/>
    </font>
    <font>
      <b val="true"/>
      <sz val="8"/>
      <name val="Arial"/>
      <family val="0"/>
    </font>
    <font>
      <b val="true"/>
      <sz val="12"/>
      <name val="Arial"/>
      <family val="0"/>
    </font>
    <font>
      <i val="true"/>
      <sz val="8"/>
      <name val="Arial"/>
      <family val="0"/>
    </font>
    <font>
      <b val="true"/>
      <sz val="8"/>
      <color rgb="FFFFFFFF"/>
      <name val="Arial"/>
      <family val="0"/>
    </font>
    <font>
      <b val="true"/>
      <sz val="9"/>
      <name val="Arial"/>
      <family val="0"/>
    </font>
    <font>
      <sz val="8"/>
      <name val="Arial"/>
      <family val="0"/>
    </font>
    <font>
      <strike val="true"/>
      <sz val="9"/>
      <color rgb="FF808080"/>
      <name val="Arial"/>
      <family val="0"/>
    </font>
    <font>
      <strike val="true"/>
      <sz val="8"/>
      <color rgb="FF808080"/>
      <name val="Arial"/>
      <family val="0"/>
    </font>
    <font>
      <sz val="9"/>
      <color rgb="FF0000FF"/>
      <name val="Arial"/>
      <family val="0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F2F9"/>
        <bgColor rgb="FFF2F2F2"/>
      </patternFill>
    </fill>
    <fill>
      <patternFill patternType="solid">
        <fgColor rgb="FFDCE6F1"/>
        <bgColor rgb="FFD6E0F0"/>
      </patternFill>
    </fill>
    <fill>
      <patternFill patternType="solid">
        <fgColor rgb="FFE2EFDA"/>
        <bgColor rgb="FFEDEDED"/>
      </patternFill>
    </fill>
    <fill>
      <patternFill patternType="solid">
        <fgColor rgb="FFE4DFEC"/>
        <bgColor rgb="FFDCE6F1"/>
      </patternFill>
    </fill>
    <fill>
      <patternFill patternType="solid">
        <fgColor rgb="FFFCE4D6"/>
        <bgColor rgb="FFEDEDED"/>
      </patternFill>
    </fill>
    <fill>
      <patternFill patternType="solid">
        <fgColor rgb="FFEDEDED"/>
        <bgColor rgb="FFE8EEF7"/>
      </patternFill>
    </fill>
    <fill>
      <patternFill patternType="solid">
        <fgColor rgb="FFD6E0F0"/>
        <bgColor rgb="FFDCE6F1"/>
      </patternFill>
    </fill>
    <fill>
      <patternFill patternType="solid">
        <fgColor rgb="FFF7F9FC"/>
        <bgColor rgb="FFFFFFFF"/>
      </patternFill>
    </fill>
    <fill>
      <patternFill patternType="solid">
        <fgColor rgb="FFF2F2F2"/>
        <bgColor rgb="FFEDF2F9"/>
      </patternFill>
    </fill>
    <fill>
      <patternFill patternType="solid">
        <fgColor rgb="FFE8EEF7"/>
        <bgColor rgb="FFEDF2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10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10" fillId="9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1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0" fillId="1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6" fontId="0" fillId="1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1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12" fillId="11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2" fillId="11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2" fillId="11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2" fillId="11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2" fillId="11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1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1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1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0" fillId="1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0" fillId="1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0" fillId="1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0" fillId="1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0" fillId="1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0" fillId="1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2" fillId="11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1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D6E0F0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E8EE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EDEDE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EDEDED"/>
      <rgbColor rgb="FF993366"/>
      <rgbColor rgb="FFF7F9FC"/>
      <rgbColor rgb="FFE8EEF7"/>
      <rgbColor rgb="FF660066"/>
      <rgbColor rgb="FFFF8080"/>
      <rgbColor rgb="FF0066CC"/>
      <rgbColor rgb="FFBFD1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F9"/>
      <rgbColor rgb="FFE2EFDA"/>
      <rgbColor rgb="FFF2F2F2"/>
      <rgbColor rgb="FFD6E0F0"/>
      <rgbColor rgb="FFDCE6F1"/>
      <rgbColor rgb="FFE4DFEC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umenier.com/products/lumenier-razor-pro-f4-45a-2-6s-am32-esc" TargetMode="External"/><Relationship Id="rId2" Type="http://schemas.openxmlformats.org/officeDocument/2006/relationships/hyperlink" Target="https://www.apcprop.com/product/10x4-7sf-b4/?v=7516fd43adaa" TargetMode="External"/><Relationship Id="rId3" Type="http://schemas.openxmlformats.org/officeDocument/2006/relationships/hyperlink" Target="https://store.3dr.com/control-zero-classic/" TargetMode="External"/><Relationship Id="rId4" Type="http://schemas.openxmlformats.org/officeDocument/2006/relationships/hyperlink" Target="https://docs.mrobotics.io/power-module/acsp4.html" TargetMode="External"/><Relationship Id="rId5" Type="http://schemas.openxmlformats.org/officeDocument/2006/relationships/hyperlink" Target="https://radiomasterrc.com/products/rp4td-expresslrs-2-4ghz-diversity-receiver?variant=46486336372928" TargetMode="External"/><Relationship Id="rId6" Type="http://schemas.openxmlformats.org/officeDocument/2006/relationships/hyperlink" Target="https://radiomasterrc.com/products/pocket-radio-controller-m2" TargetMode="External"/><Relationship Id="rId7" Type="http://schemas.openxmlformats.org/officeDocument/2006/relationships/hyperlink" Target="https://www.racedayquads.com/products/speedybee-tx800-20x20-25-800mw-5-8ghz-vtx-mmcx" TargetMode="External"/><Relationship Id="rId8" Type="http://schemas.openxmlformats.org/officeDocument/2006/relationships/hyperlink" Target="https://www.racedayquads.com/products/ev800d-5-8g-40ch-diversity-fpv-goggles-with-dvr" TargetMode="External"/><Relationship Id="rId9" Type="http://schemas.openxmlformats.org/officeDocument/2006/relationships/hyperlink" Target="https://www.racedayquads.com/products/caddx-baby-ratel-2-1200tvl-cmos-4-3-16-9-ntsc-pal-fpv-camera-1-8mm-black" TargetMode="External"/><Relationship Id="rId10" Type="http://schemas.openxmlformats.org/officeDocument/2006/relationships/hyperlink" Target="https://www.mcmaster.com/4083A11/" TargetMode="External"/><Relationship Id="rId11" Type="http://schemas.openxmlformats.org/officeDocument/2006/relationships/hyperlink" Target="https://www.mcmaster.com/3035T12/" TargetMode="External"/><Relationship Id="rId12" Type="http://schemas.openxmlformats.org/officeDocument/2006/relationships/hyperlink" Target="https://www.mcmaster.com/93886A140/" TargetMode="External"/><Relationship Id="rId13" Type="http://schemas.openxmlformats.org/officeDocument/2006/relationships/hyperlink" Target="https://dragonplate.com/economyplate-solid-carbon-fiber-sheet-1_16-x-12-x-12" TargetMode="External"/><Relationship Id="rId14" Type="http://schemas.openxmlformats.org/officeDocument/2006/relationships/hyperlink" Target="https://dragonplate.com/carbon-fiber-roll-wrapped-twill-tube-0875-id-x-24-gloss-finish" TargetMode="External"/><Relationship Id="rId15" Type="http://schemas.openxmlformats.org/officeDocument/2006/relationships/hyperlink" Target="https://www.mcmaster.com/95856A245/" TargetMode="External"/><Relationship Id="rId16" Type="http://schemas.openxmlformats.org/officeDocument/2006/relationships/hyperlink" Target="https://www.mcmaster.com/8127A81/" TargetMode="External"/><Relationship Id="rId17" Type="http://schemas.openxmlformats.org/officeDocument/2006/relationships/hyperlink" Target="https://www.mcmaster.com/93505A103/" TargetMode="External"/><Relationship Id="rId18" Type="http://schemas.openxmlformats.org/officeDocument/2006/relationships/hyperlink" Target="https://www.mcmaster.com/93181A007/" TargetMode="External"/><Relationship Id="rId19" Type="http://schemas.openxmlformats.org/officeDocument/2006/relationships/hyperlink" Target="https://www.mcmaster.com/93181A003/" TargetMode="External"/><Relationship Id="rId20" Type="http://schemas.openxmlformats.org/officeDocument/2006/relationships/hyperlink" Target="https://www.mcmaster.com/98511A213/" TargetMode="External"/><Relationship Id="rId21" Type="http://schemas.openxmlformats.org/officeDocument/2006/relationships/hyperlink" Target="https://www.mcmaster.com/98511A303/" TargetMode="External"/><Relationship Id="rId22" Type="http://schemas.openxmlformats.org/officeDocument/2006/relationships/hyperlink" Target="https://www.mcmaster.com/93306A911/" TargetMode="External"/><Relationship Id="rId23" Type="http://schemas.openxmlformats.org/officeDocument/2006/relationships/hyperlink" Target="https://www.mcmaster.com/93505A446/" TargetMode="External"/><Relationship Id="rId24" Type="http://schemas.openxmlformats.org/officeDocument/2006/relationships/hyperlink" Target="https://www.matterhackers.com/store/l/colorfabb-lw-pla-ht-075kg/sk/MCN26S16" TargetMode="External"/><Relationship Id="rId25" Type="http://schemas.openxmlformats.org/officeDocument/2006/relationships/hyperlink" Target="https://www.apcprop.com/product/adapter-rings-metric-sf/?v=7516fd43adaa" TargetMode="External"/><Relationship Id="rId26" Type="http://schemas.openxmlformats.org/officeDocument/2006/relationships/hyperlink" Target="https://eagle.justrite.com/lab-pack-open-head-poly-drum-14-gallon-metal-lever-lock-black-1610mblk" TargetMode="External"/><Relationship Id="rId27" Type="http://schemas.openxmlformats.org/officeDocument/2006/relationships/hyperlink" Target="https://maxamps.com/collections/3s-lipo-battery-11-1v/products/lipo-5600mah-3s2p-11-1v-battery-pack" TargetMode="External"/><Relationship Id="rId28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C10" activeCellId="0" sqref="C10"/>
    </sheetView>
  </sheetViews>
  <sheetFormatPr defaultColWidth="12.8046875" defaultRowHeight="12.8" customHeight="false" zeroHeight="false" outlineLevelRow="0" outlineLevelCol="0"/>
  <cols>
    <col collapsed="false" customWidth="true" hidden="false" outlineLevel="0" max="1" min="1" style="0" width="7.92"/>
    <col collapsed="false" customWidth="true" hidden="false" outlineLevel="0" max="2" min="2" style="0" width="11.23"/>
    <col collapsed="false" customWidth="true" hidden="false" outlineLevel="0" max="3" min="3" style="0" width="15.12"/>
    <col collapsed="false" customWidth="true" hidden="false" outlineLevel="0" max="4" min="4" style="0" width="17.28"/>
    <col collapsed="false" customWidth="true" hidden="false" outlineLevel="0" max="5" min="5" style="0" width="22.32"/>
    <col collapsed="false" customWidth="true" hidden="false" outlineLevel="0" max="6" min="6" style="0" width="37.44"/>
    <col collapsed="false" customWidth="true" hidden="false" outlineLevel="0" max="7" min="7" style="0" width="9.79"/>
    <col collapsed="false" customWidth="true" hidden="false" outlineLevel="0" max="8" min="8" style="0" width="8.64"/>
    <col collapsed="false" customWidth="true" hidden="false" outlineLevel="0" max="9" min="9" style="0" width="8.93"/>
    <col collapsed="false" customWidth="true" hidden="false" outlineLevel="0" max="10" min="10" style="0" width="9.5"/>
    <col collapsed="false" customWidth="true" hidden="false" outlineLevel="0" max="11" min="11" style="0" width="10.66"/>
    <col collapsed="false" customWidth="true" hidden="false" outlineLevel="0" max="12" min="12" style="0" width="11.52"/>
    <col collapsed="false" customWidth="true" hidden="false" outlineLevel="0" max="13" min="13" style="0" width="12.67"/>
    <col collapsed="false" customWidth="true" hidden="false" outlineLevel="0" max="14" min="14" style="0" width="8.93"/>
    <col collapsed="false" customWidth="true" hidden="false" outlineLevel="0" max="16" min="15" style="0" width="13.68"/>
    <col collapsed="false" customWidth="true" hidden="false" outlineLevel="0" max="17" min="17" style="0" width="14.4"/>
    <col collapsed="false" customWidth="true" hidden="false" outlineLevel="0" max="18" min="18" style="0" width="15.12"/>
    <col collapsed="false" customWidth="true" hidden="false" outlineLevel="0" max="19" min="19" style="0" width="16.56"/>
    <col collapsed="false" customWidth="true" hidden="false" outlineLevel="0" max="20" min="20" style="0" width="44.64"/>
  </cols>
  <sheetData>
    <row r="1" customFormat="false" ht="2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1</v>
      </c>
      <c r="O1" s="2"/>
      <c r="P1" s="2"/>
      <c r="Q1" s="2"/>
      <c r="R1" s="2"/>
      <c r="S1" s="2"/>
      <c r="T1" s="2"/>
    </row>
    <row r="2" customFormat="false" ht="24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 t="s">
        <v>3</v>
      </c>
      <c r="I2" s="3"/>
      <c r="J2" s="3"/>
      <c r="K2" s="3"/>
      <c r="L2" s="3"/>
      <c r="M2" s="3"/>
      <c r="N2" s="3" t="s">
        <v>4</v>
      </c>
      <c r="O2" s="3"/>
      <c r="P2" s="3"/>
      <c r="Q2" s="3"/>
      <c r="R2" s="3"/>
      <c r="S2" s="3"/>
      <c r="T2" s="3"/>
    </row>
    <row r="3" customFormat="false" ht="21.6" hidden="false" customHeight="true" outlineLevel="0" collapsed="false">
      <c r="A3" s="4" t="n">
        <f aca="false">SUM(Q9:Q67)</f>
        <v>1382.26</v>
      </c>
      <c r="B3" s="4"/>
      <c r="C3" s="4"/>
      <c r="D3" s="4"/>
      <c r="E3" s="4"/>
      <c r="F3" s="4"/>
      <c r="G3" s="4"/>
      <c r="H3" s="5" t="n">
        <f aca="false">L8</f>
        <v>4.8315</v>
      </c>
      <c r="I3" s="5"/>
      <c r="J3" s="5"/>
      <c r="K3" s="5"/>
      <c r="L3" s="5"/>
      <c r="M3" s="5"/>
      <c r="N3" s="6" t="n">
        <f aca="false">M8</f>
        <v>7.223028852</v>
      </c>
      <c r="O3" s="6"/>
      <c r="P3" s="6"/>
      <c r="Q3" s="6"/>
      <c r="R3" s="6"/>
      <c r="S3" s="6"/>
      <c r="T3" s="6"/>
    </row>
    <row r="4" customFormat="false" ht="19.4" hidden="false" customHeight="true" outlineLevel="0" collapsed="false">
      <c r="A4" s="7" t="s">
        <v>5</v>
      </c>
      <c r="B4" s="7"/>
      <c r="C4" s="7"/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customFormat="false" ht="7.2" hidden="false" customHeight="tru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customFormat="false" ht="14.4" hidden="false" customHeight="true" outlineLevel="0" collapsed="false">
      <c r="A6" s="9" t="s">
        <v>6</v>
      </c>
      <c r="B6" s="9"/>
      <c r="C6" s="9"/>
      <c r="D6" s="9"/>
      <c r="E6" s="9"/>
      <c r="F6" s="9"/>
      <c r="G6" s="9" t="s">
        <v>7</v>
      </c>
      <c r="H6" s="9"/>
      <c r="I6" s="9"/>
      <c r="J6" s="9" t="s">
        <v>8</v>
      </c>
      <c r="K6" s="9"/>
      <c r="L6" s="9"/>
      <c r="M6" s="9"/>
      <c r="N6" s="9" t="s">
        <v>9</v>
      </c>
      <c r="O6" s="9"/>
      <c r="P6" s="9"/>
      <c r="Q6" s="9"/>
      <c r="R6" s="9" t="s">
        <v>10</v>
      </c>
      <c r="S6" s="9"/>
      <c r="T6" s="9"/>
    </row>
    <row r="7" customFormat="false" ht="41.75" hidden="false" customHeight="true" outlineLevel="0" collapsed="false">
      <c r="A7" s="10" t="s">
        <v>11</v>
      </c>
      <c r="B7" s="10" t="s">
        <v>12</v>
      </c>
      <c r="C7" s="10" t="s">
        <v>13</v>
      </c>
      <c r="D7" s="10" t="s">
        <v>14</v>
      </c>
      <c r="E7" s="10" t="s">
        <v>15</v>
      </c>
      <c r="F7" s="10" t="s">
        <v>16</v>
      </c>
      <c r="G7" s="11" t="s">
        <v>17</v>
      </c>
      <c r="H7" s="11" t="s">
        <v>18</v>
      </c>
      <c r="I7" s="11" t="s">
        <v>19</v>
      </c>
      <c r="J7" s="12" t="s">
        <v>20</v>
      </c>
      <c r="K7" s="12" t="s">
        <v>21</v>
      </c>
      <c r="L7" s="12" t="s">
        <v>22</v>
      </c>
      <c r="M7" s="12" t="s">
        <v>23</v>
      </c>
      <c r="N7" s="13" t="s">
        <v>24</v>
      </c>
      <c r="O7" s="13" t="s">
        <v>25</v>
      </c>
      <c r="P7" s="13" t="s">
        <v>26</v>
      </c>
      <c r="Q7" s="13" t="s">
        <v>27</v>
      </c>
      <c r="R7" s="14" t="s">
        <v>28</v>
      </c>
      <c r="S7" s="14" t="s">
        <v>29</v>
      </c>
      <c r="T7" s="14" t="s">
        <v>30</v>
      </c>
    </row>
    <row r="8" customFormat="false" ht="28.35" hidden="false" customHeight="false" outlineLevel="0" collapsed="false">
      <c r="A8" s="15" t="n">
        <v>1</v>
      </c>
      <c r="B8" s="15" t="s">
        <v>31</v>
      </c>
      <c r="C8" s="16" t="s">
        <v>32</v>
      </c>
      <c r="D8" s="17" t="s">
        <v>33</v>
      </c>
      <c r="E8" s="17" t="s">
        <v>34</v>
      </c>
      <c r="F8" s="17" t="s">
        <v>35</v>
      </c>
      <c r="G8" s="15" t="n">
        <v>1</v>
      </c>
      <c r="H8" s="15" t="n">
        <v>1</v>
      </c>
      <c r="I8" s="15" t="s">
        <v>32</v>
      </c>
      <c r="J8" s="15" t="s">
        <v>32</v>
      </c>
      <c r="K8" s="18" t="s">
        <v>32</v>
      </c>
      <c r="L8" s="19" t="n">
        <f aca="false">SUM(L9:L67)</f>
        <v>4.8315</v>
      </c>
      <c r="M8" s="20" t="n">
        <f aca="false">SUM(M9:M67)</f>
        <v>7.223028852</v>
      </c>
      <c r="N8" s="15" t="s">
        <v>32</v>
      </c>
      <c r="O8" s="21" t="s">
        <v>32</v>
      </c>
      <c r="P8" s="15" t="s">
        <v>32</v>
      </c>
      <c r="Q8" s="22" t="n">
        <f aca="false">SUM(Q9:Q67)</f>
        <v>1382.26</v>
      </c>
      <c r="R8" s="16" t="s">
        <v>32</v>
      </c>
      <c r="S8" s="17"/>
      <c r="T8" s="23" t="s">
        <v>36</v>
      </c>
    </row>
    <row r="9" customFormat="false" ht="12.8" hidden="false" customHeight="false" outlineLevel="0" collapsed="false">
      <c r="A9" s="24" t="n">
        <v>2</v>
      </c>
      <c r="B9" s="24" t="s">
        <v>37</v>
      </c>
      <c r="C9" s="25" t="s">
        <v>38</v>
      </c>
      <c r="D9" s="25" t="s">
        <v>39</v>
      </c>
      <c r="E9" s="25" t="s">
        <v>40</v>
      </c>
      <c r="F9" s="25" t="s">
        <v>41</v>
      </c>
      <c r="G9" s="24" t="n">
        <v>1</v>
      </c>
      <c r="H9" s="24" t="n">
        <v>6</v>
      </c>
      <c r="I9" s="24" t="s">
        <v>42</v>
      </c>
      <c r="J9" s="24" t="s">
        <v>43</v>
      </c>
      <c r="K9" s="26" t="n">
        <v>2.46</v>
      </c>
      <c r="L9" s="27" t="n">
        <f aca="false">IF(AND($J9="y",ISNUMBER(K9),ISNUMBER(H9)),(K9*H9)/16,"—")</f>
        <v>0.9225</v>
      </c>
      <c r="M9" s="28" t="s">
        <v>32</v>
      </c>
      <c r="N9" s="24" t="s">
        <v>43</v>
      </c>
      <c r="O9" s="29" t="n">
        <v>5</v>
      </c>
      <c r="P9" s="24" t="n">
        <v>1</v>
      </c>
      <c r="Q9" s="29" t="n">
        <f aca="false">IF(AND($N9="y",ISNUMBER(O9),ISNUMBER(H9)),_xlfn.CEILING.MATH(H9/IF(ISNUMBER(P9),MAX(P9,1),1),1)*O9,"—")</f>
        <v>30</v>
      </c>
      <c r="R9" s="25" t="s">
        <v>44</v>
      </c>
      <c r="S9" s="25"/>
      <c r="T9" s="30" t="s">
        <v>45</v>
      </c>
    </row>
    <row r="10" customFormat="false" ht="28.35" hidden="false" customHeight="false" outlineLevel="0" collapsed="false">
      <c r="A10" s="31" t="n">
        <v>3</v>
      </c>
      <c r="B10" s="31" t="s">
        <v>46</v>
      </c>
      <c r="C10" s="32" t="s">
        <v>38</v>
      </c>
      <c r="D10" s="32" t="s">
        <v>39</v>
      </c>
      <c r="E10" s="32" t="s">
        <v>47</v>
      </c>
      <c r="F10" s="32" t="s">
        <v>48</v>
      </c>
      <c r="G10" s="31" t="n">
        <v>6</v>
      </c>
      <c r="H10" s="31" t="n">
        <v>6</v>
      </c>
      <c r="I10" s="31" t="s">
        <v>31</v>
      </c>
      <c r="J10" s="31" t="s">
        <v>49</v>
      </c>
      <c r="K10" s="33" t="n">
        <v>0.95</v>
      </c>
      <c r="L10" s="34" t="str">
        <f aca="false">IF(AND($J10="y",ISNUMBER(K10),ISNUMBER(H10)),(K10*H10)/16,"—")</f>
        <v>—</v>
      </c>
      <c r="M10" s="35" t="s">
        <v>32</v>
      </c>
      <c r="N10" s="31" t="s">
        <v>49</v>
      </c>
      <c r="O10" s="36" t="n">
        <v>5</v>
      </c>
      <c r="P10" s="31" t="n">
        <v>1</v>
      </c>
      <c r="Q10" s="37" t="str">
        <f aca="false">IF(AND($N10="y",ISNUMBER(O10),ISNUMBER(H10)),_xlfn.CEILING.MATH(H10/IF(ISNUMBER(P10),MAX(P10,1),1),1)*O10,"—")</f>
        <v>—</v>
      </c>
      <c r="R10" s="32" t="s">
        <v>44</v>
      </c>
      <c r="S10" s="32"/>
      <c r="T10" s="38" t="s">
        <v>50</v>
      </c>
    </row>
    <row r="11" customFormat="false" ht="12.8" hidden="false" customHeight="false" outlineLevel="0" collapsed="false">
      <c r="A11" s="24" t="n">
        <v>4</v>
      </c>
      <c r="B11" s="24" t="s">
        <v>46</v>
      </c>
      <c r="C11" s="25" t="s">
        <v>51</v>
      </c>
      <c r="D11" s="25" t="s">
        <v>52</v>
      </c>
      <c r="E11" s="25" t="s">
        <v>47</v>
      </c>
      <c r="F11" s="25" t="s">
        <v>53</v>
      </c>
      <c r="G11" s="24" t="n">
        <v>6</v>
      </c>
      <c r="H11" s="24" t="n">
        <v>6</v>
      </c>
      <c r="I11" s="24" t="s">
        <v>31</v>
      </c>
      <c r="J11" s="24" t="s">
        <v>43</v>
      </c>
      <c r="K11" s="26" t="n">
        <v>0.2</v>
      </c>
      <c r="L11" s="27" t="n">
        <f aca="false">IF(AND($J11="y",ISNUMBER(K11),ISNUMBER(H11)),(K11*H11)/16,"—")</f>
        <v>0.075</v>
      </c>
      <c r="M11" s="28" t="s">
        <v>32</v>
      </c>
      <c r="N11" s="24" t="s">
        <v>43</v>
      </c>
      <c r="O11" s="29" t="n">
        <v>31</v>
      </c>
      <c r="P11" s="24" t="n">
        <v>1</v>
      </c>
      <c r="Q11" s="29" t="n">
        <f aca="false">IF(AND($N11="y",ISNUMBER(O11),ISNUMBER(H11)),_xlfn.CEILING.MATH(H11/IF(ISNUMBER(P11),MAX(P11,1),1),1)*O11,"—")</f>
        <v>186</v>
      </c>
      <c r="R11" s="25" t="s">
        <v>51</v>
      </c>
      <c r="S11" s="39" t="s">
        <v>54</v>
      </c>
      <c r="T11" s="30" t="s">
        <v>55</v>
      </c>
    </row>
    <row r="12" customFormat="false" ht="19.4" hidden="false" customHeight="false" outlineLevel="0" collapsed="false">
      <c r="A12" s="40" t="n">
        <v>5</v>
      </c>
      <c r="B12" s="40" t="s">
        <v>56</v>
      </c>
      <c r="C12" s="41" t="s">
        <v>57</v>
      </c>
      <c r="D12" s="41" t="s">
        <v>58</v>
      </c>
      <c r="E12" s="41" t="s">
        <v>59</v>
      </c>
      <c r="F12" s="41" t="s">
        <v>60</v>
      </c>
      <c r="G12" s="40" t="n">
        <v>1</v>
      </c>
      <c r="H12" s="40" t="n">
        <v>6</v>
      </c>
      <c r="I12" s="40" t="s">
        <v>42</v>
      </c>
      <c r="J12" s="40" t="s">
        <v>43</v>
      </c>
      <c r="K12" s="42" t="n">
        <v>0.38</v>
      </c>
      <c r="L12" s="43" t="n">
        <f aca="false">IF(AND($J12="y",ISNUMBER(K12),ISNUMBER(H12)),(K12*H12)/16,"—")</f>
        <v>0.1425</v>
      </c>
      <c r="M12" s="28" t="s">
        <v>32</v>
      </c>
      <c r="N12" s="40" t="s">
        <v>43</v>
      </c>
      <c r="O12" s="44" t="n">
        <v>1</v>
      </c>
      <c r="P12" s="40" t="n">
        <v>1</v>
      </c>
      <c r="Q12" s="44" t="n">
        <f aca="false">IF(AND($N12="y",ISNUMBER(O12),ISNUMBER(H12)),_xlfn.CEILING.MATH(H12/IF(ISNUMBER(P12),MAX(P12,1),1),1)*O12,"—")</f>
        <v>6</v>
      </c>
      <c r="R12" s="41" t="s">
        <v>44</v>
      </c>
      <c r="S12" s="45" t="s">
        <v>61</v>
      </c>
      <c r="T12" s="46" t="s">
        <v>62</v>
      </c>
    </row>
    <row r="13" customFormat="false" ht="19.4" hidden="false" customHeight="false" outlineLevel="0" collapsed="false">
      <c r="A13" s="24" t="n">
        <v>6</v>
      </c>
      <c r="B13" s="24" t="s">
        <v>63</v>
      </c>
      <c r="C13" s="25" t="s">
        <v>64</v>
      </c>
      <c r="D13" s="25" t="s">
        <v>65</v>
      </c>
      <c r="E13" s="25" t="s">
        <v>66</v>
      </c>
      <c r="F13" s="25" t="s">
        <v>67</v>
      </c>
      <c r="G13" s="24" t="n">
        <v>1</v>
      </c>
      <c r="H13" s="24" t="n">
        <v>1</v>
      </c>
      <c r="I13" s="24" t="s">
        <v>31</v>
      </c>
      <c r="J13" s="24" t="s">
        <v>43</v>
      </c>
      <c r="K13" s="26" t="n">
        <v>1.37</v>
      </c>
      <c r="L13" s="27" t="n">
        <f aca="false">IF(AND($J13="y",ISNUMBER(K13),ISNUMBER(H13)),(K13*H13)/16,"—")</f>
        <v>0.085625</v>
      </c>
      <c r="M13" s="28" t="s">
        <v>32</v>
      </c>
      <c r="N13" s="24" t="s">
        <v>43</v>
      </c>
      <c r="O13" s="29" t="n">
        <v>80</v>
      </c>
      <c r="P13" s="24" t="n">
        <v>1</v>
      </c>
      <c r="Q13" s="29" t="n">
        <f aca="false">IF(AND($N13="y",ISNUMBER(O13),ISNUMBER(H13)),_xlfn.CEILING.MATH(H13/IF(ISNUMBER(P13),MAX(P13,1),1),1)*O13,"—")</f>
        <v>80</v>
      </c>
      <c r="R13" s="25" t="s">
        <v>44</v>
      </c>
      <c r="S13" s="39" t="s">
        <v>68</v>
      </c>
      <c r="T13" s="30" t="s">
        <v>69</v>
      </c>
    </row>
    <row r="14" customFormat="false" ht="22.35" hidden="false" customHeight="false" outlineLevel="0" collapsed="false">
      <c r="A14" s="40" t="n">
        <v>7</v>
      </c>
      <c r="B14" s="40" t="s">
        <v>70</v>
      </c>
      <c r="C14" s="41" t="s">
        <v>64</v>
      </c>
      <c r="D14" s="41" t="s">
        <v>71</v>
      </c>
      <c r="E14" s="41" t="s">
        <v>72</v>
      </c>
      <c r="F14" s="41" t="s">
        <v>73</v>
      </c>
      <c r="G14" s="40" t="n">
        <v>1</v>
      </c>
      <c r="H14" s="40" t="n">
        <v>1</v>
      </c>
      <c r="I14" s="40" t="s">
        <v>31</v>
      </c>
      <c r="J14" s="40" t="s">
        <v>43</v>
      </c>
      <c r="K14" s="42" t="n">
        <v>0.66</v>
      </c>
      <c r="L14" s="43" t="n">
        <f aca="false">IF(AND($J14="y",ISNUMBER(K14),ISNUMBER(H14)),(K14*H14)/16,"—")</f>
        <v>0.04125</v>
      </c>
      <c r="M14" s="28" t="s">
        <v>32</v>
      </c>
      <c r="N14" s="40" t="s">
        <v>43</v>
      </c>
      <c r="O14" s="44" t="n">
        <v>19</v>
      </c>
      <c r="P14" s="40" t="n">
        <v>1</v>
      </c>
      <c r="Q14" s="44" t="n">
        <f aca="false">IF(AND($N14="y",ISNUMBER(O14),ISNUMBER(H14)),_xlfn.CEILING.MATH(H14/IF(ISNUMBER(P14),MAX(P14,1),1),1)*O14,"—")</f>
        <v>19</v>
      </c>
      <c r="R14" s="41" t="s">
        <v>44</v>
      </c>
      <c r="S14" s="45" t="s">
        <v>74</v>
      </c>
      <c r="T14" s="46" t="s">
        <v>75</v>
      </c>
    </row>
    <row r="15" customFormat="false" ht="12.8" hidden="false" customHeight="false" outlineLevel="0" collapsed="false">
      <c r="A15" s="24" t="n">
        <v>8</v>
      </c>
      <c r="B15" s="24" t="s">
        <v>76</v>
      </c>
      <c r="C15" s="25" t="s">
        <v>39</v>
      </c>
      <c r="D15" s="25" t="s">
        <v>77</v>
      </c>
      <c r="E15" s="25" t="s">
        <v>78</v>
      </c>
      <c r="F15" s="25" t="s">
        <v>79</v>
      </c>
      <c r="G15" s="24" t="n">
        <v>1</v>
      </c>
      <c r="H15" s="24" t="n">
        <v>1</v>
      </c>
      <c r="I15" s="24" t="s">
        <v>31</v>
      </c>
      <c r="J15" s="24" t="s">
        <v>43</v>
      </c>
      <c r="K15" s="26" t="n">
        <v>0.08</v>
      </c>
      <c r="L15" s="27" t="n">
        <f aca="false">IF(AND($J15="y",ISNUMBER(K15),ISNUMBER(H15)),(K15*H15)/16,"—")</f>
        <v>0.005</v>
      </c>
      <c r="M15" s="28" t="s">
        <v>32</v>
      </c>
      <c r="N15" s="24" t="s">
        <v>43</v>
      </c>
      <c r="O15" s="29" t="n">
        <v>1</v>
      </c>
      <c r="P15" s="24" t="n">
        <v>1</v>
      </c>
      <c r="Q15" s="29" t="n">
        <f aca="false">IF(AND($N15="y",ISNUMBER(O15),ISNUMBER(H15)),_xlfn.CEILING.MATH(H15/IF(ISNUMBER(P15),MAX(P15,1),1),1)*O15,"—")</f>
        <v>1</v>
      </c>
      <c r="R15" s="25" t="s">
        <v>44</v>
      </c>
      <c r="S15" s="47" t="s">
        <v>32</v>
      </c>
      <c r="T15" s="30" t="s">
        <v>75</v>
      </c>
    </row>
    <row r="16" customFormat="false" ht="22.35" hidden="false" customHeight="false" outlineLevel="0" collapsed="false">
      <c r="A16" s="40" t="n">
        <v>9</v>
      </c>
      <c r="B16" s="40" t="s">
        <v>80</v>
      </c>
      <c r="C16" s="41" t="s">
        <v>39</v>
      </c>
      <c r="D16" s="41" t="s">
        <v>39</v>
      </c>
      <c r="E16" s="41" t="s">
        <v>81</v>
      </c>
      <c r="F16" s="41" t="s">
        <v>82</v>
      </c>
      <c r="G16" s="40" t="n">
        <v>1</v>
      </c>
      <c r="H16" s="40" t="n">
        <v>1</v>
      </c>
      <c r="I16" s="40" t="s">
        <v>31</v>
      </c>
      <c r="J16" s="40" t="s">
        <v>43</v>
      </c>
      <c r="K16" s="42" t="n">
        <v>1.09</v>
      </c>
      <c r="L16" s="43" t="n">
        <f aca="false">IF(AND($J16="y",ISNUMBER(K16),ISNUMBER(H16)),(K16*H16)/16,"—")</f>
        <v>0.068125</v>
      </c>
      <c r="M16" s="28" t="s">
        <v>32</v>
      </c>
      <c r="N16" s="40" t="s">
        <v>43</v>
      </c>
      <c r="O16" s="44" t="n">
        <v>10</v>
      </c>
      <c r="P16" s="40" t="n">
        <v>1</v>
      </c>
      <c r="Q16" s="44" t="n">
        <f aca="false">IF(AND($N16="y",ISNUMBER(O16),ISNUMBER(H16)),_xlfn.CEILING.MATH(H16/IF(ISNUMBER(P16),MAX(P16,1),1),1)*O16,"—")</f>
        <v>10</v>
      </c>
      <c r="R16" s="41" t="s">
        <v>44</v>
      </c>
      <c r="S16" s="48" t="s">
        <v>32</v>
      </c>
      <c r="T16" s="46" t="s">
        <v>83</v>
      </c>
    </row>
    <row r="17" customFormat="false" ht="22.35" hidden="false" customHeight="false" outlineLevel="0" collapsed="false">
      <c r="A17" s="24" t="n">
        <v>10</v>
      </c>
      <c r="B17" s="24" t="s">
        <v>84</v>
      </c>
      <c r="C17" s="25" t="s">
        <v>39</v>
      </c>
      <c r="D17" s="25" t="s">
        <v>39</v>
      </c>
      <c r="E17" s="25" t="s">
        <v>85</v>
      </c>
      <c r="F17" s="25" t="s">
        <v>86</v>
      </c>
      <c r="G17" s="24" t="n">
        <v>1</v>
      </c>
      <c r="H17" s="24" t="n">
        <v>1</v>
      </c>
      <c r="I17" s="24" t="s">
        <v>31</v>
      </c>
      <c r="J17" s="24" t="s">
        <v>43</v>
      </c>
      <c r="K17" s="26" t="n">
        <v>0.55</v>
      </c>
      <c r="L17" s="27" t="n">
        <f aca="false">IF(AND($J17="y",ISNUMBER(K17),ISNUMBER(H17)),(K17*H17)/16,"—")</f>
        <v>0.034375</v>
      </c>
      <c r="M17" s="28" t="s">
        <v>32</v>
      </c>
      <c r="N17" s="24" t="s">
        <v>43</v>
      </c>
      <c r="O17" s="29" t="n">
        <v>10</v>
      </c>
      <c r="P17" s="24" t="n">
        <v>1</v>
      </c>
      <c r="Q17" s="29" t="n">
        <f aca="false">IF(AND($N17="y",ISNUMBER(O17),ISNUMBER(H17)),_xlfn.CEILING.MATH(H17/IF(ISNUMBER(P17),MAX(P17,1),1),1)*O17,"—")</f>
        <v>10</v>
      </c>
      <c r="R17" s="25" t="s">
        <v>44</v>
      </c>
      <c r="S17" s="47" t="s">
        <v>32</v>
      </c>
      <c r="T17" s="30" t="s">
        <v>87</v>
      </c>
    </row>
    <row r="18" customFormat="false" ht="22.35" hidden="false" customHeight="false" outlineLevel="0" collapsed="false">
      <c r="A18" s="40" t="n">
        <v>11</v>
      </c>
      <c r="B18" s="40" t="s">
        <v>88</v>
      </c>
      <c r="C18" s="41" t="s">
        <v>39</v>
      </c>
      <c r="D18" s="41" t="s">
        <v>39</v>
      </c>
      <c r="E18" s="41" t="s">
        <v>89</v>
      </c>
      <c r="F18" s="41" t="s">
        <v>90</v>
      </c>
      <c r="G18" s="40" t="n">
        <v>1</v>
      </c>
      <c r="H18" s="40" t="n">
        <v>1</v>
      </c>
      <c r="I18" s="40" t="s">
        <v>31</v>
      </c>
      <c r="J18" s="40" t="s">
        <v>49</v>
      </c>
      <c r="K18" s="49" t="s">
        <v>32</v>
      </c>
      <c r="L18" s="50" t="str">
        <f aca="false">IF(AND($J18="y",ISNUMBER(K18),ISNUMBER(H18)),(K18*H18)/16,"—")</f>
        <v>—</v>
      </c>
      <c r="M18" s="28" t="s">
        <v>32</v>
      </c>
      <c r="N18" s="40" t="s">
        <v>43</v>
      </c>
      <c r="O18" s="44" t="n">
        <v>10</v>
      </c>
      <c r="P18" s="40" t="n">
        <v>1</v>
      </c>
      <c r="Q18" s="44" t="n">
        <f aca="false">IF(AND($N18="y",ISNUMBER(O18),ISNUMBER(H18)),_xlfn.CEILING.MATH(H18/IF(ISNUMBER(P18),MAX(P18,1),1),1)*O18,"—")</f>
        <v>10</v>
      </c>
      <c r="R18" s="41" t="s">
        <v>44</v>
      </c>
      <c r="S18" s="48" t="s">
        <v>32</v>
      </c>
      <c r="T18" s="46" t="s">
        <v>91</v>
      </c>
    </row>
    <row r="19" customFormat="false" ht="22.35" hidden="false" customHeight="false" outlineLevel="0" collapsed="false">
      <c r="A19" s="24" t="n">
        <v>12</v>
      </c>
      <c r="B19" s="24" t="s">
        <v>92</v>
      </c>
      <c r="C19" s="25" t="s">
        <v>93</v>
      </c>
      <c r="D19" s="25" t="s">
        <v>94</v>
      </c>
      <c r="E19" s="25" t="s">
        <v>95</v>
      </c>
      <c r="F19" s="25" t="s">
        <v>96</v>
      </c>
      <c r="G19" s="24" t="n">
        <v>1</v>
      </c>
      <c r="H19" s="24" t="n">
        <v>1</v>
      </c>
      <c r="I19" s="24" t="s">
        <v>31</v>
      </c>
      <c r="J19" s="24" t="s">
        <v>43</v>
      </c>
      <c r="K19" s="26" t="n">
        <v>0.15</v>
      </c>
      <c r="L19" s="27" t="n">
        <f aca="false">IF(AND($J19="y",ISNUMBER(K19),ISNUMBER(H19)),(K19*H19)/16,"—")</f>
        <v>0.009375</v>
      </c>
      <c r="M19" s="28" t="s">
        <v>32</v>
      </c>
      <c r="N19" s="24" t="s">
        <v>43</v>
      </c>
      <c r="O19" s="29" t="n">
        <v>24.99</v>
      </c>
      <c r="P19" s="24" t="n">
        <v>1</v>
      </c>
      <c r="Q19" s="29" t="n">
        <f aca="false">IF(AND($N19="y",ISNUMBER(O19),ISNUMBER(H19)),_xlfn.CEILING.MATH(H19/IF(ISNUMBER(P19),MAX(P19,1),1),1)*O19,"—")</f>
        <v>24.99</v>
      </c>
      <c r="R19" s="25" t="s">
        <v>93</v>
      </c>
      <c r="S19" s="39" t="s">
        <v>97</v>
      </c>
      <c r="T19" s="30" t="s">
        <v>98</v>
      </c>
    </row>
    <row r="20" customFormat="false" ht="19.4" hidden="false" customHeight="false" outlineLevel="0" collapsed="false">
      <c r="A20" s="40" t="n">
        <v>13</v>
      </c>
      <c r="B20" s="40" t="s">
        <v>99</v>
      </c>
      <c r="C20" s="41" t="s">
        <v>93</v>
      </c>
      <c r="D20" s="41" t="s">
        <v>100</v>
      </c>
      <c r="E20" s="41" t="s">
        <v>101</v>
      </c>
      <c r="F20" s="41" t="s">
        <v>102</v>
      </c>
      <c r="G20" s="40" t="n">
        <v>1</v>
      </c>
      <c r="H20" s="40" t="n">
        <v>1</v>
      </c>
      <c r="I20" s="40" t="s">
        <v>31</v>
      </c>
      <c r="J20" s="40" t="s">
        <v>49</v>
      </c>
      <c r="K20" s="49" t="s">
        <v>32</v>
      </c>
      <c r="L20" s="50" t="str">
        <f aca="false">IF(AND($J20="y",ISNUMBER(K20),ISNUMBER(H20)),(K20*H20)/16,"—")</f>
        <v>—</v>
      </c>
      <c r="M20" s="28" t="s">
        <v>32</v>
      </c>
      <c r="N20" s="40" t="s">
        <v>43</v>
      </c>
      <c r="O20" s="44" t="n">
        <v>64.99</v>
      </c>
      <c r="P20" s="40" t="n">
        <v>1</v>
      </c>
      <c r="Q20" s="44" t="n">
        <f aca="false">IF(AND($N20="y",ISNUMBER(O20),ISNUMBER(H20)),_xlfn.CEILING.MATH(H20/IF(ISNUMBER(P20),MAX(P20,1),1),1)*O20,"—")</f>
        <v>64.99</v>
      </c>
      <c r="R20" s="41" t="s">
        <v>93</v>
      </c>
      <c r="S20" s="45" t="s">
        <v>97</v>
      </c>
      <c r="T20" s="46" t="s">
        <v>103</v>
      </c>
    </row>
    <row r="21" customFormat="false" ht="22.35" hidden="false" customHeight="false" outlineLevel="0" collapsed="false">
      <c r="A21" s="24" t="n">
        <v>14</v>
      </c>
      <c r="B21" s="24" t="s">
        <v>104</v>
      </c>
      <c r="C21" s="25" t="s">
        <v>105</v>
      </c>
      <c r="D21" s="25" t="s">
        <v>106</v>
      </c>
      <c r="E21" s="25" t="s">
        <v>107</v>
      </c>
      <c r="F21" s="25" t="s">
        <v>108</v>
      </c>
      <c r="G21" s="24" t="n">
        <v>1</v>
      </c>
      <c r="H21" s="24" t="n">
        <v>1</v>
      </c>
      <c r="I21" s="24" t="s">
        <v>31</v>
      </c>
      <c r="J21" s="24" t="s">
        <v>43</v>
      </c>
      <c r="K21" s="26" t="n">
        <v>0.2</v>
      </c>
      <c r="L21" s="27" t="n">
        <f aca="false">IF(AND($J21="y",ISNUMBER(K21),ISNUMBER(H21)),(K21*H21)/16,"—")</f>
        <v>0.0125</v>
      </c>
      <c r="M21" s="28" t="s">
        <v>32</v>
      </c>
      <c r="N21" s="24" t="s">
        <v>43</v>
      </c>
      <c r="O21" s="29" t="n">
        <v>51.99</v>
      </c>
      <c r="P21" s="24" t="n">
        <v>1</v>
      </c>
      <c r="Q21" s="29" t="n">
        <f aca="false">IF(AND($N21="y",ISNUMBER(O21),ISNUMBER(H21)),_xlfn.CEILING.MATH(H21/IF(ISNUMBER(P21),MAX(P21,1),1),1)*O21,"—")</f>
        <v>51.99</v>
      </c>
      <c r="R21" s="25" t="s">
        <v>109</v>
      </c>
      <c r="S21" s="39" t="s">
        <v>110</v>
      </c>
      <c r="T21" s="30" t="s">
        <v>111</v>
      </c>
    </row>
    <row r="22" customFormat="false" ht="22.35" hidden="false" customHeight="false" outlineLevel="0" collapsed="false">
      <c r="A22" s="40" t="n">
        <v>15</v>
      </c>
      <c r="B22" s="40" t="s">
        <v>112</v>
      </c>
      <c r="C22" s="41" t="s">
        <v>113</v>
      </c>
      <c r="D22" s="41" t="s">
        <v>114</v>
      </c>
      <c r="E22" s="41" t="s">
        <v>115</v>
      </c>
      <c r="F22" s="41" t="s">
        <v>116</v>
      </c>
      <c r="G22" s="40" t="n">
        <v>1</v>
      </c>
      <c r="H22" s="40" t="n">
        <v>1</v>
      </c>
      <c r="I22" s="40" t="s">
        <v>31</v>
      </c>
      <c r="J22" s="40" t="s">
        <v>49</v>
      </c>
      <c r="K22" s="49" t="s">
        <v>32</v>
      </c>
      <c r="L22" s="50" t="str">
        <f aca="false">IF(AND($J22="y",ISNUMBER(K22),ISNUMBER(H22)),(K22*H22)/16,"—")</f>
        <v>—</v>
      </c>
      <c r="M22" s="28" t="s">
        <v>32</v>
      </c>
      <c r="N22" s="40" t="s">
        <v>43</v>
      </c>
      <c r="O22" s="44" t="n">
        <v>119.99</v>
      </c>
      <c r="P22" s="40" t="n">
        <v>1</v>
      </c>
      <c r="Q22" s="44" t="n">
        <f aca="false">IF(AND($N22="y",ISNUMBER(O22),ISNUMBER(H22)),_xlfn.CEILING.MATH(H22/IF(ISNUMBER(P22),MAX(P22,1),1),1)*O22,"—")</f>
        <v>119.99</v>
      </c>
      <c r="R22" s="41" t="s">
        <v>109</v>
      </c>
      <c r="S22" s="45" t="s">
        <v>110</v>
      </c>
      <c r="T22" s="46" t="s">
        <v>103</v>
      </c>
    </row>
    <row r="23" customFormat="false" ht="22.35" hidden="false" customHeight="false" outlineLevel="0" collapsed="false">
      <c r="A23" s="24" t="n">
        <v>16</v>
      </c>
      <c r="B23" s="24" t="s">
        <v>117</v>
      </c>
      <c r="C23" s="25" t="s">
        <v>118</v>
      </c>
      <c r="D23" s="25" t="s">
        <v>119</v>
      </c>
      <c r="E23" s="25" t="s">
        <v>120</v>
      </c>
      <c r="F23" s="25" t="s">
        <v>121</v>
      </c>
      <c r="G23" s="24" t="n">
        <v>1</v>
      </c>
      <c r="H23" s="24" t="n">
        <v>1</v>
      </c>
      <c r="I23" s="24" t="s">
        <v>31</v>
      </c>
      <c r="J23" s="24" t="s">
        <v>43</v>
      </c>
      <c r="K23" s="26" t="n">
        <v>0.12</v>
      </c>
      <c r="L23" s="27" t="n">
        <f aca="false">IF(AND($J23="y",ISNUMBER(K23),ISNUMBER(H23)),(K23*H23)/16,"—")</f>
        <v>0.0075</v>
      </c>
      <c r="M23" s="51" t="s">
        <v>32</v>
      </c>
      <c r="N23" s="24" t="s">
        <v>43</v>
      </c>
      <c r="O23" s="29" t="n">
        <v>31.49</v>
      </c>
      <c r="P23" s="24" t="n">
        <v>1</v>
      </c>
      <c r="Q23" s="29" t="n">
        <f aca="false">IF(AND($N23="y",ISNUMBER(O23),ISNUMBER(H23)),_xlfn.CEILING.MATH(H23/IF(ISNUMBER(P23),MAX(P23,1),1),1)*O23,"—")</f>
        <v>31.49</v>
      </c>
      <c r="R23" s="25" t="s">
        <v>109</v>
      </c>
      <c r="S23" s="39" t="s">
        <v>110</v>
      </c>
      <c r="T23" s="30" t="s">
        <v>122</v>
      </c>
    </row>
    <row r="24" customFormat="false" ht="32.8" hidden="false" customHeight="false" outlineLevel="0" collapsed="false">
      <c r="A24" s="40" t="n">
        <v>17</v>
      </c>
      <c r="B24" s="40" t="s">
        <v>123</v>
      </c>
      <c r="C24" s="41" t="s">
        <v>124</v>
      </c>
      <c r="D24" s="41" t="s">
        <v>125</v>
      </c>
      <c r="E24" s="41" t="s">
        <v>126</v>
      </c>
      <c r="F24" s="41" t="s">
        <v>127</v>
      </c>
      <c r="G24" s="40" t="n">
        <v>2</v>
      </c>
      <c r="H24" s="40" t="n">
        <v>2</v>
      </c>
      <c r="I24" s="40" t="s">
        <v>31</v>
      </c>
      <c r="J24" s="40" t="s">
        <v>49</v>
      </c>
      <c r="K24" s="49" t="s">
        <v>32</v>
      </c>
      <c r="L24" s="50" t="str">
        <f aca="false">IF(AND($J24="y",ISNUMBER(K24),ISNUMBER(H24)),(K24*H24)/16,"—")</f>
        <v>—</v>
      </c>
      <c r="M24" s="28" t="s">
        <v>32</v>
      </c>
      <c r="N24" s="40" t="s">
        <v>43</v>
      </c>
      <c r="O24" s="44" t="n">
        <v>30.83</v>
      </c>
      <c r="P24" s="40" t="n">
        <v>1</v>
      </c>
      <c r="Q24" s="44" t="n">
        <f aca="false">IF(AND($N24="y",ISNUMBER(O24),ISNUMBER(H24)),_xlfn.CEILING.MATH(H24/IF(ISNUMBER(P24),MAX(P24,1),1),1)*O24,"—")</f>
        <v>61.66</v>
      </c>
      <c r="R24" s="41" t="s">
        <v>124</v>
      </c>
      <c r="S24" s="45" t="s">
        <v>128</v>
      </c>
      <c r="T24" s="46" t="s">
        <v>129</v>
      </c>
    </row>
    <row r="25" customFormat="false" ht="19.4" hidden="false" customHeight="false" outlineLevel="0" collapsed="false">
      <c r="A25" s="24" t="n">
        <v>18</v>
      </c>
      <c r="B25" s="24" t="s">
        <v>130</v>
      </c>
      <c r="C25" s="25" t="s">
        <v>124</v>
      </c>
      <c r="D25" s="25" t="s">
        <v>131</v>
      </c>
      <c r="E25" s="25" t="s">
        <v>132</v>
      </c>
      <c r="F25" s="25" t="s">
        <v>133</v>
      </c>
      <c r="G25" s="24" t="n">
        <v>6</v>
      </c>
      <c r="H25" s="24" t="n">
        <v>6</v>
      </c>
      <c r="I25" s="24" t="s">
        <v>31</v>
      </c>
      <c r="J25" s="24" t="s">
        <v>43</v>
      </c>
      <c r="K25" s="26" t="n">
        <f aca="false">0.018*16</f>
        <v>0.288</v>
      </c>
      <c r="L25" s="27" t="n">
        <f aca="false">IF(AND($J25="y",ISNUMBER(K25),ISNUMBER(H25)),(K25*H25)/16,"—")</f>
        <v>0.108</v>
      </c>
      <c r="M25" s="51" t="s">
        <v>32</v>
      </c>
      <c r="N25" s="24" t="s">
        <v>43</v>
      </c>
      <c r="O25" s="29" t="n">
        <v>3.41</v>
      </c>
      <c r="P25" s="24" t="n">
        <v>1</v>
      </c>
      <c r="Q25" s="29" t="n">
        <f aca="false">IF(AND($N25="y",ISNUMBER(O25),ISNUMBER(H25)),_xlfn.CEILING.MATH(H25/IF(ISNUMBER(P25),MAX(P25,1),1),1)*O25,"—")</f>
        <v>20.46</v>
      </c>
      <c r="R25" s="25" t="s">
        <v>124</v>
      </c>
      <c r="S25" s="39" t="s">
        <v>134</v>
      </c>
      <c r="T25" s="30" t="s">
        <v>135</v>
      </c>
    </row>
    <row r="26" customFormat="false" ht="12.8" hidden="false" customHeight="false" outlineLevel="0" collapsed="false">
      <c r="A26" s="40" t="n">
        <v>19</v>
      </c>
      <c r="B26" s="40" t="s">
        <v>136</v>
      </c>
      <c r="C26" s="41" t="s">
        <v>124</v>
      </c>
      <c r="D26" s="41" t="s">
        <v>137</v>
      </c>
      <c r="E26" s="41" t="s">
        <v>138</v>
      </c>
      <c r="F26" s="41" t="s">
        <v>139</v>
      </c>
      <c r="G26" s="40" t="n">
        <v>12</v>
      </c>
      <c r="H26" s="40" t="n">
        <v>12</v>
      </c>
      <c r="I26" s="40" t="s">
        <v>31</v>
      </c>
      <c r="J26" s="40" t="s">
        <v>43</v>
      </c>
      <c r="K26" s="42" t="n">
        <f aca="false">0.01*16</f>
        <v>0.16</v>
      </c>
      <c r="L26" s="43" t="n">
        <f aca="false">IF(AND($J26="y",ISNUMBER(K26),ISNUMBER(H26)),(K26*H26)/16,"—")</f>
        <v>0.12</v>
      </c>
      <c r="M26" s="28" t="s">
        <v>32</v>
      </c>
      <c r="N26" s="40" t="s">
        <v>43</v>
      </c>
      <c r="O26" s="44" t="n">
        <v>11.1</v>
      </c>
      <c r="P26" s="40" t="n">
        <v>10</v>
      </c>
      <c r="Q26" s="44" t="n">
        <f aca="false">IF(AND($N26="y",ISNUMBER(O26),ISNUMBER(H26)),_xlfn.CEILING.MATH(H26/IF(ISNUMBER(P26),MAX(P26,1),1),1)*O26,"—")</f>
        <v>22.2</v>
      </c>
      <c r="R26" s="41" t="s">
        <v>124</v>
      </c>
      <c r="S26" s="45" t="s">
        <v>140</v>
      </c>
      <c r="T26" s="46" t="s">
        <v>141</v>
      </c>
    </row>
    <row r="27" customFormat="false" ht="28.35" hidden="false" customHeight="false" outlineLevel="0" collapsed="false">
      <c r="A27" s="24" t="n">
        <v>20</v>
      </c>
      <c r="B27" s="24" t="s">
        <v>142</v>
      </c>
      <c r="C27" s="25" t="s">
        <v>143</v>
      </c>
      <c r="D27" s="25" t="s">
        <v>144</v>
      </c>
      <c r="E27" s="25" t="s">
        <v>145</v>
      </c>
      <c r="F27" s="25" t="s">
        <v>146</v>
      </c>
      <c r="G27" s="24" t="n">
        <v>2</v>
      </c>
      <c r="H27" s="24" t="n">
        <v>2</v>
      </c>
      <c r="I27" s="24" t="s">
        <v>31</v>
      </c>
      <c r="J27" s="24" t="s">
        <v>49</v>
      </c>
      <c r="K27" s="26" t="n">
        <f aca="false">0.449*16</f>
        <v>7.184</v>
      </c>
      <c r="L27" s="52" t="str">
        <f aca="false">IF(AND($J27="y",ISNUMBER(K27),ISNUMBER(H27)),(K27*H27)/16,"—")</f>
        <v>—</v>
      </c>
      <c r="M27" s="51" t="s">
        <v>32</v>
      </c>
      <c r="N27" s="24" t="s">
        <v>43</v>
      </c>
      <c r="O27" s="29" t="n">
        <v>61.65</v>
      </c>
      <c r="P27" s="24" t="n">
        <v>1</v>
      </c>
      <c r="Q27" s="29" t="n">
        <f aca="false">IF(AND($N27="y",ISNUMBER(O27),ISNUMBER(H27)),_xlfn.CEILING.MATH(H27/IF(ISNUMBER(P27),MAX(P27,1),1),1)*O27,"—")</f>
        <v>123.3</v>
      </c>
      <c r="R27" s="25" t="s">
        <v>143</v>
      </c>
      <c r="S27" s="39" t="s">
        <v>147</v>
      </c>
      <c r="T27" s="30" t="s">
        <v>148</v>
      </c>
    </row>
    <row r="28" customFormat="false" ht="28.35" hidden="false" customHeight="false" outlineLevel="0" collapsed="false">
      <c r="A28" s="40" t="n">
        <v>21</v>
      </c>
      <c r="B28" s="40" t="s">
        <v>149</v>
      </c>
      <c r="C28" s="41" t="s">
        <v>143</v>
      </c>
      <c r="D28" s="41" t="s">
        <v>150</v>
      </c>
      <c r="E28" s="41" t="s">
        <v>151</v>
      </c>
      <c r="F28" s="41" t="s">
        <v>152</v>
      </c>
      <c r="G28" s="40" t="n">
        <v>3</v>
      </c>
      <c r="H28" s="40" t="n">
        <v>3</v>
      </c>
      <c r="I28" s="40" t="s">
        <v>31</v>
      </c>
      <c r="J28" s="40" t="s">
        <v>49</v>
      </c>
      <c r="K28" s="42" t="n">
        <v>4.112</v>
      </c>
      <c r="L28" s="50" t="str">
        <f aca="false">IF(AND($J28="y",ISNUMBER(K28),ISNUMBER(H28)),(K28*H28)/16,"—")</f>
        <v>—</v>
      </c>
      <c r="M28" s="28" t="s">
        <v>32</v>
      </c>
      <c r="N28" s="40" t="s">
        <v>43</v>
      </c>
      <c r="O28" s="44" t="n">
        <v>59.65</v>
      </c>
      <c r="P28" s="40" t="n">
        <v>1</v>
      </c>
      <c r="Q28" s="44" t="n">
        <f aca="false">IF(AND($N28="y",ISNUMBER(O28),ISNUMBER(H28)),_xlfn.CEILING.MATH(H28/IF(ISNUMBER(P28),MAX(P28,1),1),1)*O28,"—")</f>
        <v>178.95</v>
      </c>
      <c r="R28" s="41" t="s">
        <v>143</v>
      </c>
      <c r="S28" s="45" t="s">
        <v>147</v>
      </c>
      <c r="T28" s="46" t="s">
        <v>153</v>
      </c>
    </row>
    <row r="29" customFormat="false" ht="12.8" hidden="false" customHeight="false" outlineLevel="0" collapsed="false">
      <c r="A29" s="24" t="n">
        <v>22</v>
      </c>
      <c r="B29" s="24" t="s">
        <v>154</v>
      </c>
      <c r="C29" s="25" t="s">
        <v>155</v>
      </c>
      <c r="D29" s="47" t="s">
        <v>32</v>
      </c>
      <c r="E29" s="25" t="s">
        <v>156</v>
      </c>
      <c r="F29" s="25" t="s">
        <v>157</v>
      </c>
      <c r="G29" s="24" t="n">
        <v>1</v>
      </c>
      <c r="H29" s="24" t="n">
        <v>1</v>
      </c>
      <c r="I29" s="24" t="s">
        <v>158</v>
      </c>
      <c r="J29" s="24" t="s">
        <v>43</v>
      </c>
      <c r="K29" s="26" t="n">
        <f aca="false">0.28*16</f>
        <v>4.48</v>
      </c>
      <c r="L29" s="27" t="n">
        <f aca="false">IF(AND($J29="y",ISNUMBER(K29),ISNUMBER(H29)),(K29*H29)/16,"—")</f>
        <v>0.28</v>
      </c>
      <c r="M29" s="51" t="s">
        <v>32</v>
      </c>
      <c r="N29" s="24" t="s">
        <v>49</v>
      </c>
      <c r="O29" s="53" t="s">
        <v>32</v>
      </c>
      <c r="P29" s="24" t="s">
        <v>32</v>
      </c>
      <c r="Q29" s="53" t="str">
        <f aca="false">IF(AND($N29="y",ISNUMBER(O29),ISNUMBER(H29)),_xlfn.CEILING.MATH(H29/IF(ISNUMBER(P29),MAX(P29,1),1),1)*O29,"—")</f>
        <v>—</v>
      </c>
      <c r="R29" s="25" t="s">
        <v>159</v>
      </c>
      <c r="S29" s="47" t="s">
        <v>32</v>
      </c>
      <c r="T29" s="30" t="s">
        <v>160</v>
      </c>
    </row>
    <row r="30" customFormat="false" ht="12.8" hidden="false" customHeight="false" outlineLevel="0" collapsed="false">
      <c r="A30" s="40" t="n">
        <v>23</v>
      </c>
      <c r="B30" s="40" t="s">
        <v>161</v>
      </c>
      <c r="C30" s="41" t="s">
        <v>155</v>
      </c>
      <c r="D30" s="48" t="s">
        <v>32</v>
      </c>
      <c r="E30" s="41" t="s">
        <v>162</v>
      </c>
      <c r="F30" s="41" t="s">
        <v>157</v>
      </c>
      <c r="G30" s="40" t="n">
        <v>1</v>
      </c>
      <c r="H30" s="40" t="n">
        <v>1</v>
      </c>
      <c r="I30" s="40" t="s">
        <v>158</v>
      </c>
      <c r="J30" s="40" t="s">
        <v>43</v>
      </c>
      <c r="K30" s="42" t="n">
        <f aca="false">0.22*16</f>
        <v>3.52</v>
      </c>
      <c r="L30" s="43" t="n">
        <f aca="false">IF(AND($J30="y",ISNUMBER(K30),ISNUMBER(H30)),(K30*H30)/16,"—")</f>
        <v>0.22</v>
      </c>
      <c r="M30" s="28" t="s">
        <v>32</v>
      </c>
      <c r="N30" s="40" t="s">
        <v>49</v>
      </c>
      <c r="O30" s="54" t="s">
        <v>32</v>
      </c>
      <c r="P30" s="40" t="s">
        <v>32</v>
      </c>
      <c r="Q30" s="54" t="str">
        <f aca="false">IF(AND($N30="y",ISNUMBER(O30),ISNUMBER(H30)),_xlfn.CEILING.MATH(H30/IF(ISNUMBER(P30),MAX(P30,1),1),1)*O30,"—")</f>
        <v>—</v>
      </c>
      <c r="R30" s="41" t="s">
        <v>159</v>
      </c>
      <c r="S30" s="48" t="s">
        <v>32</v>
      </c>
      <c r="T30" s="46" t="s">
        <v>160</v>
      </c>
    </row>
    <row r="31" customFormat="false" ht="12.8" hidden="false" customHeight="false" outlineLevel="0" collapsed="false">
      <c r="A31" s="24" t="n">
        <v>24</v>
      </c>
      <c r="B31" s="24" t="s">
        <v>163</v>
      </c>
      <c r="C31" s="25" t="s">
        <v>155</v>
      </c>
      <c r="D31" s="47" t="s">
        <v>32</v>
      </c>
      <c r="E31" s="25" t="s">
        <v>164</v>
      </c>
      <c r="F31" s="25" t="s">
        <v>157</v>
      </c>
      <c r="G31" s="24" t="n">
        <v>1</v>
      </c>
      <c r="H31" s="24" t="n">
        <v>1</v>
      </c>
      <c r="I31" s="24" t="s">
        <v>158</v>
      </c>
      <c r="J31" s="24" t="s">
        <v>43</v>
      </c>
      <c r="K31" s="26" t="n">
        <f aca="false">0.01*16</f>
        <v>0.16</v>
      </c>
      <c r="L31" s="27" t="n">
        <f aca="false">IF(AND($J31="y",ISNUMBER(K31),ISNUMBER(H31)),(K31*H31)/16,"—")</f>
        <v>0.01</v>
      </c>
      <c r="M31" s="51" t="s">
        <v>32</v>
      </c>
      <c r="N31" s="24" t="s">
        <v>49</v>
      </c>
      <c r="O31" s="53" t="s">
        <v>32</v>
      </c>
      <c r="P31" s="24" t="s">
        <v>32</v>
      </c>
      <c r="Q31" s="53" t="str">
        <f aca="false">IF(AND($N31="y",ISNUMBER(O31),ISNUMBER(H31)),_xlfn.CEILING.MATH(H31/IF(ISNUMBER(P31),MAX(P31,1),1),1)*O31,"—")</f>
        <v>—</v>
      </c>
      <c r="R31" s="25" t="s">
        <v>159</v>
      </c>
      <c r="S31" s="47" t="s">
        <v>32</v>
      </c>
      <c r="T31" s="30" t="s">
        <v>160</v>
      </c>
    </row>
    <row r="32" customFormat="false" ht="28.35" hidden="false" customHeight="false" outlineLevel="0" collapsed="false">
      <c r="A32" s="55" t="n">
        <v>25</v>
      </c>
      <c r="B32" s="55" t="s">
        <v>158</v>
      </c>
      <c r="C32" s="56" t="s">
        <v>155</v>
      </c>
      <c r="D32" s="57" t="s">
        <v>32</v>
      </c>
      <c r="E32" s="56" t="s">
        <v>165</v>
      </c>
      <c r="F32" s="56" t="s">
        <v>166</v>
      </c>
      <c r="G32" s="55" t="n">
        <v>1</v>
      </c>
      <c r="H32" s="55" t="n">
        <v>1</v>
      </c>
      <c r="I32" s="55" t="s">
        <v>31</v>
      </c>
      <c r="J32" s="55" t="s">
        <v>49</v>
      </c>
      <c r="K32" s="58" t="s">
        <v>32</v>
      </c>
      <c r="L32" s="59" t="str">
        <f aca="false">IF(AND($J32="y",ISNUMBER(K32),ISNUMBER(H32)),(K32*H32)/16,"—")</f>
        <v>—</v>
      </c>
      <c r="M32" s="60" t="n">
        <v>0.33</v>
      </c>
      <c r="N32" s="55" t="s">
        <v>49</v>
      </c>
      <c r="O32" s="61" t="s">
        <v>32</v>
      </c>
      <c r="P32" s="55" t="s">
        <v>32</v>
      </c>
      <c r="Q32" s="61" t="str">
        <f aca="false">IF(AND($N32="y",ISNUMBER(O32),ISNUMBER(H32)),_xlfn.CEILING.MATH(H32/IF(ISNUMBER(P32),MAX(P32,1),1),1)*O32,"—")</f>
        <v>—</v>
      </c>
      <c r="R32" s="56" t="s">
        <v>159</v>
      </c>
      <c r="S32" s="57" t="s">
        <v>32</v>
      </c>
      <c r="T32" s="62" t="s">
        <v>167</v>
      </c>
    </row>
    <row r="33" customFormat="false" ht="19.4" hidden="false" customHeight="false" outlineLevel="0" collapsed="false">
      <c r="A33" s="55" t="n">
        <v>26</v>
      </c>
      <c r="B33" s="55" t="s">
        <v>42</v>
      </c>
      <c r="C33" s="56" t="s">
        <v>155</v>
      </c>
      <c r="D33" s="57" t="s">
        <v>32</v>
      </c>
      <c r="E33" s="56" t="s">
        <v>168</v>
      </c>
      <c r="F33" s="56" t="s">
        <v>169</v>
      </c>
      <c r="G33" s="55" t="n">
        <v>6</v>
      </c>
      <c r="H33" s="55" t="n">
        <v>6</v>
      </c>
      <c r="I33" s="55" t="s">
        <v>31</v>
      </c>
      <c r="J33" s="55" t="s">
        <v>49</v>
      </c>
      <c r="K33" s="58" t="s">
        <v>32</v>
      </c>
      <c r="L33" s="59" t="str">
        <f aca="false">IF(AND($J33="y",ISNUMBER(K33),ISNUMBER(H33)),(K33*H33)/16,"—")</f>
        <v>—</v>
      </c>
      <c r="M33" s="63" t="s">
        <v>32</v>
      </c>
      <c r="N33" s="55" t="s">
        <v>49</v>
      </c>
      <c r="O33" s="61" t="s">
        <v>32</v>
      </c>
      <c r="P33" s="55" t="s">
        <v>32</v>
      </c>
      <c r="Q33" s="61" t="str">
        <f aca="false">IF(AND($N33="y",ISNUMBER(O33),ISNUMBER(H33)),_xlfn.CEILING.MATH(H33/IF(ISNUMBER(P33),MAX(P33,1),1),1)*O33,"—")</f>
        <v>—</v>
      </c>
      <c r="R33" s="56" t="s">
        <v>159</v>
      </c>
      <c r="S33" s="57" t="s">
        <v>32</v>
      </c>
      <c r="T33" s="62" t="s">
        <v>170</v>
      </c>
    </row>
    <row r="34" customFormat="false" ht="12.8" hidden="false" customHeight="false" outlineLevel="0" collapsed="false">
      <c r="A34" s="40" t="n">
        <v>27</v>
      </c>
      <c r="B34" s="40" t="s">
        <v>171</v>
      </c>
      <c r="C34" s="41" t="s">
        <v>155</v>
      </c>
      <c r="D34" s="48" t="s">
        <v>32</v>
      </c>
      <c r="E34" s="41" t="s">
        <v>172</v>
      </c>
      <c r="F34" s="41" t="s">
        <v>173</v>
      </c>
      <c r="G34" s="40" t="n">
        <v>1</v>
      </c>
      <c r="H34" s="40" t="n">
        <v>6</v>
      </c>
      <c r="I34" s="40" t="s">
        <v>42</v>
      </c>
      <c r="J34" s="40" t="s">
        <v>43</v>
      </c>
      <c r="K34" s="42" t="n">
        <v>0.42</v>
      </c>
      <c r="L34" s="43" t="n">
        <f aca="false">IF(AND($J34="y",ISNUMBER(K34),ISNUMBER(H34)),(K34*H34)/16,"—")</f>
        <v>0.1575</v>
      </c>
      <c r="M34" s="28" t="s">
        <v>32</v>
      </c>
      <c r="N34" s="40" t="s">
        <v>43</v>
      </c>
      <c r="O34" s="44" t="n">
        <v>0</v>
      </c>
      <c r="P34" s="40" t="n">
        <v>1</v>
      </c>
      <c r="Q34" s="44" t="n">
        <f aca="false">IF(AND($N34="y",ISNUMBER(O34),ISNUMBER(H34)),_xlfn.CEILING.MATH(H34/IF(ISNUMBER(P34),MAX(P34,1),1),1)*O34,"—")</f>
        <v>0</v>
      </c>
      <c r="R34" s="41" t="s">
        <v>173</v>
      </c>
      <c r="S34" s="48" t="s">
        <v>32</v>
      </c>
      <c r="T34" s="46" t="s">
        <v>174</v>
      </c>
    </row>
    <row r="35" customFormat="false" ht="12.8" hidden="false" customHeight="false" outlineLevel="0" collapsed="false">
      <c r="A35" s="24" t="n">
        <v>28</v>
      </c>
      <c r="B35" s="24" t="s">
        <v>175</v>
      </c>
      <c r="C35" s="25" t="s">
        <v>155</v>
      </c>
      <c r="D35" s="47" t="s">
        <v>32</v>
      </c>
      <c r="E35" s="25" t="s">
        <v>176</v>
      </c>
      <c r="F35" s="25" t="s">
        <v>173</v>
      </c>
      <c r="G35" s="24" t="n">
        <v>1</v>
      </c>
      <c r="H35" s="24" t="n">
        <v>6</v>
      </c>
      <c r="I35" s="24" t="s">
        <v>42</v>
      </c>
      <c r="J35" s="24" t="s">
        <v>43</v>
      </c>
      <c r="K35" s="26" t="n">
        <v>0.72</v>
      </c>
      <c r="L35" s="27" t="n">
        <f aca="false">IF(AND($J35="y",ISNUMBER(K35),ISNUMBER(H35)),(K35*H35)/16,"—")</f>
        <v>0.27</v>
      </c>
      <c r="M35" s="51" t="s">
        <v>32</v>
      </c>
      <c r="N35" s="24" t="s">
        <v>43</v>
      </c>
      <c r="O35" s="29" t="n">
        <v>0</v>
      </c>
      <c r="P35" s="24" t="n">
        <v>1</v>
      </c>
      <c r="Q35" s="29" t="n">
        <f aca="false">IF(AND($N35="y",ISNUMBER(O35),ISNUMBER(H35)),_xlfn.CEILING.MATH(H35/IF(ISNUMBER(P35),MAX(P35,1),1),1)*O35,"—")</f>
        <v>0</v>
      </c>
      <c r="R35" s="25" t="s">
        <v>173</v>
      </c>
      <c r="S35" s="47" t="s">
        <v>32</v>
      </c>
      <c r="T35" s="30" t="s">
        <v>174</v>
      </c>
    </row>
    <row r="36" customFormat="false" ht="22.35" hidden="false" customHeight="false" outlineLevel="0" collapsed="false">
      <c r="A36" s="40" t="n">
        <v>29</v>
      </c>
      <c r="B36" s="40" t="s">
        <v>177</v>
      </c>
      <c r="C36" s="41" t="s">
        <v>124</v>
      </c>
      <c r="D36" s="41" t="s">
        <v>178</v>
      </c>
      <c r="E36" s="41" t="s">
        <v>179</v>
      </c>
      <c r="F36" s="41" t="s">
        <v>180</v>
      </c>
      <c r="G36" s="40" t="n">
        <v>1</v>
      </c>
      <c r="H36" s="40" t="n">
        <v>6</v>
      </c>
      <c r="I36" s="40" t="s">
        <v>42</v>
      </c>
      <c r="J36" s="40" t="s">
        <v>43</v>
      </c>
      <c r="K36" s="42" t="n">
        <f aca="false">0.004*16</f>
        <v>0.064</v>
      </c>
      <c r="L36" s="43" t="n">
        <f aca="false">IF(AND($J36="y",ISNUMBER(K36),ISNUMBER(H36)),(K36*H36)/16,"—")</f>
        <v>0.024</v>
      </c>
      <c r="M36" s="28" t="s">
        <v>32</v>
      </c>
      <c r="N36" s="40" t="s">
        <v>43</v>
      </c>
      <c r="O36" s="44" t="n">
        <v>5.28</v>
      </c>
      <c r="P36" s="40" t="n">
        <v>25</v>
      </c>
      <c r="Q36" s="44" t="n">
        <f aca="false">IF(AND($N36="y",ISNUMBER(O36),ISNUMBER(H36)),_xlfn.CEILING.MATH(H36/IF(ISNUMBER(P36),MAX(P36,1),1),1)*O36,"—")</f>
        <v>5.28</v>
      </c>
      <c r="R36" s="41" t="s">
        <v>124</v>
      </c>
      <c r="S36" s="45" t="s">
        <v>181</v>
      </c>
      <c r="T36" s="46" t="s">
        <v>182</v>
      </c>
    </row>
    <row r="37" customFormat="false" ht="19.4" hidden="false" customHeight="false" outlineLevel="0" collapsed="false">
      <c r="A37" s="24" t="n">
        <v>30</v>
      </c>
      <c r="B37" s="24" t="s">
        <v>183</v>
      </c>
      <c r="C37" s="25" t="s">
        <v>124</v>
      </c>
      <c r="D37" s="25" t="s">
        <v>184</v>
      </c>
      <c r="E37" s="25" t="s">
        <v>185</v>
      </c>
      <c r="F37" s="25" t="s">
        <v>186</v>
      </c>
      <c r="G37" s="24" t="n">
        <v>1</v>
      </c>
      <c r="H37" s="24" t="n">
        <v>1</v>
      </c>
      <c r="I37" s="24" t="s">
        <v>31</v>
      </c>
      <c r="J37" s="24" t="s">
        <v>49</v>
      </c>
      <c r="K37" s="64" t="s">
        <v>32</v>
      </c>
      <c r="L37" s="52" t="str">
        <f aca="false">IF(AND($J37="y",ISNUMBER(K37),ISNUMBER(H37)),(K37*H37)/16,"—")</f>
        <v>—</v>
      </c>
      <c r="M37" s="51" t="s">
        <v>32</v>
      </c>
      <c r="N37" s="24" t="s">
        <v>43</v>
      </c>
      <c r="O37" s="29" t="n">
        <v>22.46</v>
      </c>
      <c r="P37" s="24" t="n">
        <v>1</v>
      </c>
      <c r="Q37" s="29" t="n">
        <f aca="false">IF(AND($N37="y",ISNUMBER(O37),ISNUMBER(H37)),_xlfn.CEILING.MATH(H37/IF(ISNUMBER(P37),MAX(P37,1),1),1)*O37,"—")</f>
        <v>22.46</v>
      </c>
      <c r="R37" s="25" t="s">
        <v>124</v>
      </c>
      <c r="S37" s="39" t="s">
        <v>187</v>
      </c>
      <c r="T37" s="30" t="s">
        <v>188</v>
      </c>
    </row>
    <row r="38" customFormat="false" ht="22.35" hidden="false" customHeight="false" outlineLevel="0" collapsed="false">
      <c r="A38" s="40" t="n">
        <v>31</v>
      </c>
      <c r="B38" s="40" t="s">
        <v>189</v>
      </c>
      <c r="C38" s="41" t="s">
        <v>124</v>
      </c>
      <c r="D38" s="41" t="s">
        <v>190</v>
      </c>
      <c r="E38" s="41" t="s">
        <v>191</v>
      </c>
      <c r="F38" s="41" t="s">
        <v>192</v>
      </c>
      <c r="G38" s="40" t="n">
        <v>8</v>
      </c>
      <c r="H38" s="40" t="n">
        <v>8</v>
      </c>
      <c r="I38" s="40" t="s">
        <v>31</v>
      </c>
      <c r="J38" s="40" t="s">
        <v>43</v>
      </c>
      <c r="K38" s="42" t="n">
        <v>0.027</v>
      </c>
      <c r="L38" s="43" t="n">
        <f aca="false">IF(AND($J38="y",ISNUMBER(K38),ISNUMBER(H38)),(K38*H38)/16,"—")</f>
        <v>0.0135</v>
      </c>
      <c r="M38" s="28" t="s">
        <v>32</v>
      </c>
      <c r="N38" s="40" t="s">
        <v>43</v>
      </c>
      <c r="O38" s="44" t="n">
        <v>0.5</v>
      </c>
      <c r="P38" s="40" t="n">
        <v>1</v>
      </c>
      <c r="Q38" s="44" t="n">
        <f aca="false">IF(AND($N38="y",ISNUMBER(O38),ISNUMBER(H38)),_xlfn.CEILING.MATH(H38/IF(ISNUMBER(P38),MAX(P38,1),1),1)*O38,"—")</f>
        <v>4</v>
      </c>
      <c r="R38" s="41" t="s">
        <v>124</v>
      </c>
      <c r="S38" s="45" t="s">
        <v>193</v>
      </c>
      <c r="T38" s="65" t="s">
        <v>32</v>
      </c>
    </row>
    <row r="39" customFormat="false" ht="22.35" hidden="false" customHeight="false" outlineLevel="0" collapsed="false">
      <c r="A39" s="24" t="n">
        <v>32</v>
      </c>
      <c r="B39" s="24" t="s">
        <v>194</v>
      </c>
      <c r="C39" s="25" t="s">
        <v>124</v>
      </c>
      <c r="D39" s="25" t="s">
        <v>195</v>
      </c>
      <c r="E39" s="25" t="s">
        <v>196</v>
      </c>
      <c r="F39" s="25" t="s">
        <v>197</v>
      </c>
      <c r="G39" s="24" t="n">
        <v>18</v>
      </c>
      <c r="H39" s="24" t="n">
        <v>18</v>
      </c>
      <c r="I39" s="24" t="s">
        <v>31</v>
      </c>
      <c r="J39" s="24" t="s">
        <v>43</v>
      </c>
      <c r="K39" s="26" t="n">
        <v>0.012</v>
      </c>
      <c r="L39" s="27" t="n">
        <f aca="false">IF(AND($J39="y",ISNUMBER(K39),ISNUMBER(H39)),(K39*H39)/16,"—")</f>
        <v>0.0135</v>
      </c>
      <c r="M39" s="51" t="s">
        <v>32</v>
      </c>
      <c r="N39" s="24" t="s">
        <v>43</v>
      </c>
      <c r="O39" s="29" t="n">
        <v>8.01</v>
      </c>
      <c r="P39" s="24" t="n">
        <v>100</v>
      </c>
      <c r="Q39" s="29" t="n">
        <f aca="false">IF(AND($N39="y",ISNUMBER(O39),ISNUMBER(H39)),_xlfn.CEILING.MATH(H39/IF(ISNUMBER(P39),MAX(P39,1),1),1)*O39,"—")</f>
        <v>8.01</v>
      </c>
      <c r="R39" s="25" t="s">
        <v>124</v>
      </c>
      <c r="S39" s="39" t="s">
        <v>198</v>
      </c>
      <c r="T39" s="66" t="s">
        <v>32</v>
      </c>
    </row>
    <row r="40" customFormat="false" ht="22.35" hidden="false" customHeight="false" outlineLevel="0" collapsed="false">
      <c r="A40" s="40" t="n">
        <v>33</v>
      </c>
      <c r="B40" s="40" t="s">
        <v>199</v>
      </c>
      <c r="C40" s="41" t="s">
        <v>124</v>
      </c>
      <c r="D40" s="41" t="s">
        <v>200</v>
      </c>
      <c r="E40" s="41" t="s">
        <v>201</v>
      </c>
      <c r="F40" s="41" t="s">
        <v>202</v>
      </c>
      <c r="G40" s="40" t="n">
        <v>8</v>
      </c>
      <c r="H40" s="40" t="n">
        <v>8</v>
      </c>
      <c r="I40" s="40" t="s">
        <v>31</v>
      </c>
      <c r="J40" s="40" t="s">
        <v>43</v>
      </c>
      <c r="K40" s="42" t="n">
        <v>0.0065</v>
      </c>
      <c r="L40" s="43" t="n">
        <f aca="false">IF(AND($J40="y",ISNUMBER(K40),ISNUMBER(H40)),(K40*H40)/16,"—")</f>
        <v>0.00325</v>
      </c>
      <c r="M40" s="28" t="s">
        <v>32</v>
      </c>
      <c r="N40" s="40" t="s">
        <v>43</v>
      </c>
      <c r="O40" s="44" t="n">
        <v>7.86</v>
      </c>
      <c r="P40" s="40" t="n">
        <v>100</v>
      </c>
      <c r="Q40" s="44" t="n">
        <f aca="false">IF(AND($N40="y",ISNUMBER(O40),ISNUMBER(H40)),_xlfn.CEILING.MATH(H40/IF(ISNUMBER(P40),MAX(P40,1),1),1)*O40,"—")</f>
        <v>7.86</v>
      </c>
      <c r="R40" s="41" t="s">
        <v>124</v>
      </c>
      <c r="S40" s="45" t="s">
        <v>203</v>
      </c>
      <c r="T40" s="65" t="s">
        <v>32</v>
      </c>
    </row>
    <row r="41" customFormat="false" ht="22.35" hidden="false" customHeight="false" outlineLevel="0" collapsed="false">
      <c r="A41" s="24" t="n">
        <v>34</v>
      </c>
      <c r="B41" s="24" t="s">
        <v>204</v>
      </c>
      <c r="C41" s="25" t="s">
        <v>124</v>
      </c>
      <c r="D41" s="25" t="s">
        <v>205</v>
      </c>
      <c r="E41" s="25" t="s">
        <v>206</v>
      </c>
      <c r="F41" s="25" t="s">
        <v>207</v>
      </c>
      <c r="G41" s="24" t="n">
        <v>8</v>
      </c>
      <c r="H41" s="24" t="n">
        <v>8</v>
      </c>
      <c r="I41" s="24" t="s">
        <v>31</v>
      </c>
      <c r="J41" s="24" t="s">
        <v>43</v>
      </c>
      <c r="K41" s="26" t="n">
        <v>0.007</v>
      </c>
      <c r="L41" s="27" t="n">
        <f aca="false">IF(AND($J41="y",ISNUMBER(K41),ISNUMBER(H41)),(K41*H41)/16,"—")</f>
        <v>0.0035</v>
      </c>
      <c r="M41" s="51" t="s">
        <v>32</v>
      </c>
      <c r="N41" s="24" t="s">
        <v>43</v>
      </c>
      <c r="O41" s="29" t="n">
        <v>12.81</v>
      </c>
      <c r="P41" s="24" t="n">
        <v>10</v>
      </c>
      <c r="Q41" s="29" t="n">
        <f aca="false">IF(AND($N41="y",ISNUMBER(O41),ISNUMBER(H41)),_xlfn.CEILING.MATH(H41/IF(ISNUMBER(P41),MAX(P41,1),1),1)*O41,"—")</f>
        <v>12.81</v>
      </c>
      <c r="R41" s="25" t="s">
        <v>124</v>
      </c>
      <c r="S41" s="39" t="s">
        <v>208</v>
      </c>
      <c r="T41" s="66" t="s">
        <v>32</v>
      </c>
    </row>
    <row r="42" customFormat="false" ht="22.35" hidden="false" customHeight="false" outlineLevel="0" collapsed="false">
      <c r="A42" s="40" t="n">
        <v>35</v>
      </c>
      <c r="B42" s="40" t="s">
        <v>209</v>
      </c>
      <c r="C42" s="41" t="s">
        <v>124</v>
      </c>
      <c r="D42" s="41" t="s">
        <v>210</v>
      </c>
      <c r="E42" s="41" t="s">
        <v>211</v>
      </c>
      <c r="F42" s="41" t="s">
        <v>212</v>
      </c>
      <c r="G42" s="40" t="n">
        <v>18</v>
      </c>
      <c r="H42" s="40" t="n">
        <v>18</v>
      </c>
      <c r="I42" s="40" t="s">
        <v>31</v>
      </c>
      <c r="J42" s="40" t="s">
        <v>43</v>
      </c>
      <c r="K42" s="42" t="n">
        <v>0.012</v>
      </c>
      <c r="L42" s="43" t="n">
        <f aca="false">IF(AND($J42="y",ISNUMBER(K42),ISNUMBER(H42)),(K42*H42)/16,"—")</f>
        <v>0.0135</v>
      </c>
      <c r="M42" s="28" t="s">
        <v>32</v>
      </c>
      <c r="N42" s="40" t="s">
        <v>43</v>
      </c>
      <c r="O42" s="44" t="n">
        <v>10.09</v>
      </c>
      <c r="P42" s="40" t="n">
        <v>10</v>
      </c>
      <c r="Q42" s="44" t="n">
        <f aca="false">IF(AND($N42="y",ISNUMBER(O42),ISNUMBER(H42)),_xlfn.CEILING.MATH(H42/IF(ISNUMBER(P42),MAX(P42,1),1),1)*O42,"—")</f>
        <v>20.18</v>
      </c>
      <c r="R42" s="41" t="s">
        <v>124</v>
      </c>
      <c r="S42" s="45" t="s">
        <v>213</v>
      </c>
      <c r="T42" s="65" t="s">
        <v>32</v>
      </c>
    </row>
    <row r="43" customFormat="false" ht="22.35" hidden="false" customHeight="false" outlineLevel="0" collapsed="false">
      <c r="A43" s="24" t="n">
        <v>36</v>
      </c>
      <c r="B43" s="24" t="s">
        <v>214</v>
      </c>
      <c r="C43" s="25" t="s">
        <v>124</v>
      </c>
      <c r="D43" s="25" t="s">
        <v>215</v>
      </c>
      <c r="E43" s="25" t="s">
        <v>216</v>
      </c>
      <c r="F43" s="25" t="s">
        <v>217</v>
      </c>
      <c r="G43" s="24" t="n">
        <v>1</v>
      </c>
      <c r="H43" s="24" t="n">
        <v>6</v>
      </c>
      <c r="I43" s="24" t="s">
        <v>42</v>
      </c>
      <c r="J43" s="24" t="s">
        <v>43</v>
      </c>
      <c r="K43" s="26" t="n">
        <v>0.161</v>
      </c>
      <c r="L43" s="27" t="n">
        <f aca="false">IF(AND($J43="y",ISNUMBER(K43),ISNUMBER(H43)),(K43*H43)/16,"—")</f>
        <v>0.060375</v>
      </c>
      <c r="M43" s="51" t="s">
        <v>32</v>
      </c>
      <c r="N43" s="24" t="s">
        <v>43</v>
      </c>
      <c r="O43" s="29" t="n">
        <v>13.99</v>
      </c>
      <c r="P43" s="24" t="n">
        <v>10</v>
      </c>
      <c r="Q43" s="29" t="n">
        <f aca="false">IF(AND($N43="y",ISNUMBER(O43),ISNUMBER(H43)),_xlfn.CEILING.MATH(H43/IF(ISNUMBER(P43),MAX(P43,1),1),1)*O43,"—")</f>
        <v>13.99</v>
      </c>
      <c r="R43" s="25" t="s">
        <v>124</v>
      </c>
      <c r="S43" s="39" t="s">
        <v>218</v>
      </c>
      <c r="T43" s="66" t="s">
        <v>32</v>
      </c>
    </row>
    <row r="44" customFormat="false" ht="22.35" hidden="false" customHeight="false" outlineLevel="0" collapsed="false">
      <c r="A44" s="40" t="n">
        <v>37</v>
      </c>
      <c r="B44" s="40" t="s">
        <v>219</v>
      </c>
      <c r="C44" s="41" t="s">
        <v>124</v>
      </c>
      <c r="D44" s="41" t="s">
        <v>220</v>
      </c>
      <c r="E44" s="41" t="s">
        <v>221</v>
      </c>
      <c r="F44" s="41" t="s">
        <v>222</v>
      </c>
      <c r="G44" s="40" t="n">
        <v>18</v>
      </c>
      <c r="H44" s="40" t="n">
        <v>18</v>
      </c>
      <c r="I44" s="40" t="s">
        <v>31</v>
      </c>
      <c r="J44" s="40" t="s">
        <v>43</v>
      </c>
      <c r="K44" s="42" t="n">
        <f aca="false">0.01*16</f>
        <v>0.16</v>
      </c>
      <c r="L44" s="43" t="n">
        <f aca="false">IF(AND($J44="y",ISNUMBER(K44),ISNUMBER(H44)),(K44*H44)/16,"—")</f>
        <v>0.18</v>
      </c>
      <c r="M44" s="28" t="s">
        <v>32</v>
      </c>
      <c r="N44" s="40" t="s">
        <v>43</v>
      </c>
      <c r="O44" s="44" t="n">
        <v>0.54</v>
      </c>
      <c r="P44" s="40" t="n">
        <v>1</v>
      </c>
      <c r="Q44" s="44" t="n">
        <f aca="false">IF(AND($N44="y",ISNUMBER(O44),ISNUMBER(H44)),_xlfn.CEILING.MATH(H44/IF(ISNUMBER(P44),MAX(P44,1),1),1)*O44,"—")</f>
        <v>9.72</v>
      </c>
      <c r="R44" s="41" t="s">
        <v>124</v>
      </c>
      <c r="S44" s="45" t="s">
        <v>223</v>
      </c>
      <c r="T44" s="65" t="s">
        <v>32</v>
      </c>
    </row>
    <row r="45" customFormat="false" ht="12.8" hidden="false" customHeight="false" outlineLevel="0" collapsed="false">
      <c r="A45" s="24" t="n">
        <v>38</v>
      </c>
      <c r="B45" s="24" t="s">
        <v>224</v>
      </c>
      <c r="C45" s="25" t="s">
        <v>155</v>
      </c>
      <c r="D45" s="47" t="s">
        <v>32</v>
      </c>
      <c r="E45" s="25" t="s">
        <v>225</v>
      </c>
      <c r="F45" s="25" t="s">
        <v>226</v>
      </c>
      <c r="G45" s="24" t="n">
        <v>1</v>
      </c>
      <c r="H45" s="24" t="n">
        <v>1</v>
      </c>
      <c r="I45" s="24" t="s">
        <v>31</v>
      </c>
      <c r="J45" s="24" t="s">
        <v>43</v>
      </c>
      <c r="K45" s="26" t="n">
        <v>0.1</v>
      </c>
      <c r="L45" s="27" t="n">
        <f aca="false">IF(AND($J45="y",ISNUMBER(K45),ISNUMBER(H45)),(K45*H45)/16,"—")</f>
        <v>0.00625</v>
      </c>
      <c r="M45" s="51" t="s">
        <v>32</v>
      </c>
      <c r="N45" s="24" t="s">
        <v>43</v>
      </c>
      <c r="O45" s="29" t="n">
        <v>0</v>
      </c>
      <c r="P45" s="24" t="n">
        <v>1</v>
      </c>
      <c r="Q45" s="29" t="n">
        <f aca="false">IF(AND($N45="y",ISNUMBER(O45),ISNUMBER(H45)),_xlfn.CEILING.MATH(H45/IF(ISNUMBER(P45),MAX(P45,1),1),1)*O45,"—")</f>
        <v>0</v>
      </c>
      <c r="R45" s="25" t="s">
        <v>173</v>
      </c>
      <c r="S45" s="47" t="s">
        <v>32</v>
      </c>
      <c r="T45" s="66" t="s">
        <v>32</v>
      </c>
    </row>
    <row r="46" customFormat="false" ht="12.8" hidden="false" customHeight="false" outlineLevel="0" collapsed="false">
      <c r="A46" s="31" t="n">
        <v>39</v>
      </c>
      <c r="B46" s="31" t="s">
        <v>227</v>
      </c>
      <c r="C46" s="32" t="s">
        <v>155</v>
      </c>
      <c r="D46" s="67" t="s">
        <v>32</v>
      </c>
      <c r="E46" s="67" t="s">
        <v>32</v>
      </c>
      <c r="F46" s="67" t="s">
        <v>32</v>
      </c>
      <c r="G46" s="31" t="s">
        <v>32</v>
      </c>
      <c r="H46" s="31" t="s">
        <v>32</v>
      </c>
      <c r="I46" s="31" t="s">
        <v>31</v>
      </c>
      <c r="J46" s="31" t="s">
        <v>49</v>
      </c>
      <c r="K46" s="68" t="s">
        <v>32</v>
      </c>
      <c r="L46" s="34" t="str">
        <f aca="false">IF(AND($J46="y",ISNUMBER(K46),ISNUMBER(H46)),(K46*H46)/16,"—")</f>
        <v>—</v>
      </c>
      <c r="M46" s="35" t="s">
        <v>32</v>
      </c>
      <c r="N46" s="31" t="s">
        <v>32</v>
      </c>
      <c r="O46" s="37" t="s">
        <v>32</v>
      </c>
      <c r="P46" s="31" t="s">
        <v>32</v>
      </c>
      <c r="Q46" s="37" t="str">
        <f aca="false">IF(AND($N46="y",ISNUMBER(O46),ISNUMBER(H46)),_xlfn.CEILING.MATH(H46/IF(ISNUMBER(P46),MAX(P46,1),1),1)*O46,"—")</f>
        <v>—</v>
      </c>
      <c r="R46" s="67" t="s">
        <v>32</v>
      </c>
      <c r="S46" s="67" t="s">
        <v>32</v>
      </c>
      <c r="T46" s="38" t="s">
        <v>228</v>
      </c>
    </row>
    <row r="47" customFormat="false" ht="22.35" hidden="false" customHeight="false" outlineLevel="0" collapsed="false">
      <c r="A47" s="24" t="n">
        <v>40</v>
      </c>
      <c r="B47" s="24" t="s">
        <v>229</v>
      </c>
      <c r="C47" s="25" t="s">
        <v>124</v>
      </c>
      <c r="D47" s="25" t="s">
        <v>230</v>
      </c>
      <c r="E47" s="25" t="s">
        <v>231</v>
      </c>
      <c r="F47" s="25" t="s">
        <v>232</v>
      </c>
      <c r="G47" s="24" t="n">
        <v>2</v>
      </c>
      <c r="H47" s="24" t="n">
        <v>2</v>
      </c>
      <c r="I47" s="24" t="s">
        <v>31</v>
      </c>
      <c r="J47" s="24" t="s">
        <v>43</v>
      </c>
      <c r="K47" s="64" t="s">
        <v>32</v>
      </c>
      <c r="L47" s="52" t="str">
        <f aca="false">IF(AND($J47="y",ISNUMBER(K47),ISNUMBER(H47)),(K47*H47)/16,"—")</f>
        <v>—</v>
      </c>
      <c r="M47" s="51" t="s">
        <v>32</v>
      </c>
      <c r="N47" s="24" t="s">
        <v>49</v>
      </c>
      <c r="O47" s="29" t="n">
        <v>5.7</v>
      </c>
      <c r="P47" s="24" t="n">
        <v>100</v>
      </c>
      <c r="Q47" s="53" t="str">
        <f aca="false">IF(AND($N47="y",ISNUMBER(O47),ISNUMBER(H47)),_xlfn.CEILING.MATH(H47/IF(ISNUMBER(P47),MAX(P47,1),1),1)*O47,"—")</f>
        <v>—</v>
      </c>
      <c r="R47" s="25" t="s">
        <v>233</v>
      </c>
      <c r="S47" s="47" t="s">
        <v>32</v>
      </c>
      <c r="T47" s="30" t="s">
        <v>234</v>
      </c>
    </row>
    <row r="48" customFormat="false" ht="22.35" hidden="false" customHeight="false" outlineLevel="0" collapsed="false">
      <c r="A48" s="40" t="n">
        <v>41</v>
      </c>
      <c r="B48" s="40" t="s">
        <v>235</v>
      </c>
      <c r="C48" s="41" t="s">
        <v>155</v>
      </c>
      <c r="D48" s="48" t="s">
        <v>32</v>
      </c>
      <c r="E48" s="41" t="s">
        <v>236</v>
      </c>
      <c r="F48" s="41" t="s">
        <v>237</v>
      </c>
      <c r="G48" s="40" t="n">
        <v>1</v>
      </c>
      <c r="H48" s="40" t="n">
        <v>1</v>
      </c>
      <c r="I48" s="40" t="s">
        <v>31</v>
      </c>
      <c r="J48" s="40" t="s">
        <v>43</v>
      </c>
      <c r="K48" s="42" t="n">
        <v>0.1</v>
      </c>
      <c r="L48" s="43" t="n">
        <f aca="false">IF(AND($J48="y",ISNUMBER(K48),ISNUMBER(H48)),(K48*H48)/16,"—")</f>
        <v>0.00625</v>
      </c>
      <c r="M48" s="28" t="s">
        <v>32</v>
      </c>
      <c r="N48" s="40" t="s">
        <v>43</v>
      </c>
      <c r="O48" s="44" t="n">
        <v>0</v>
      </c>
      <c r="P48" s="40" t="n">
        <v>1</v>
      </c>
      <c r="Q48" s="44" t="n">
        <f aca="false">IF(AND($N48="y",ISNUMBER(O48),ISNUMBER(H48)),_xlfn.CEILING.MATH(H48/IF(ISNUMBER(P48),MAX(P48,1),1),1)*O48,"—")</f>
        <v>0</v>
      </c>
      <c r="R48" s="41" t="s">
        <v>173</v>
      </c>
      <c r="S48" s="48" t="s">
        <v>32</v>
      </c>
      <c r="T48" s="65" t="s">
        <v>32</v>
      </c>
    </row>
    <row r="49" customFormat="false" ht="12.8" hidden="false" customHeight="false" outlineLevel="0" collapsed="false">
      <c r="A49" s="24" t="n">
        <v>42</v>
      </c>
      <c r="B49" s="24" t="s">
        <v>238</v>
      </c>
      <c r="C49" s="25" t="s">
        <v>155</v>
      </c>
      <c r="D49" s="47" t="s">
        <v>32</v>
      </c>
      <c r="E49" s="25" t="s">
        <v>239</v>
      </c>
      <c r="F49" s="25" t="s">
        <v>173</v>
      </c>
      <c r="G49" s="24" t="n">
        <v>1</v>
      </c>
      <c r="H49" s="24" t="n">
        <v>1</v>
      </c>
      <c r="I49" s="24" t="s">
        <v>31</v>
      </c>
      <c r="J49" s="24" t="s">
        <v>43</v>
      </c>
      <c r="K49" s="26" t="n">
        <v>0.2</v>
      </c>
      <c r="L49" s="27" t="n">
        <f aca="false">IF(AND($J49="y",ISNUMBER(K49),ISNUMBER(H49)),(K49*H49)/16,"—")</f>
        <v>0.0125</v>
      </c>
      <c r="M49" s="51" t="s">
        <v>32</v>
      </c>
      <c r="N49" s="24" t="s">
        <v>43</v>
      </c>
      <c r="O49" s="29" t="n">
        <v>0</v>
      </c>
      <c r="P49" s="24" t="n">
        <v>1</v>
      </c>
      <c r="Q49" s="29" t="n">
        <f aca="false">IF(AND($N49="y",ISNUMBER(O49),ISNUMBER(H49)),_xlfn.CEILING.MATH(H49/IF(ISNUMBER(P49),MAX(P49,1),1),1)*O49,"—")</f>
        <v>0</v>
      </c>
      <c r="R49" s="25" t="s">
        <v>173</v>
      </c>
      <c r="S49" s="47" t="s">
        <v>32</v>
      </c>
      <c r="T49" s="66" t="s">
        <v>32</v>
      </c>
    </row>
    <row r="50" customFormat="false" ht="12.8" hidden="false" customHeight="false" outlineLevel="0" collapsed="false">
      <c r="A50" s="40" t="n">
        <v>43</v>
      </c>
      <c r="B50" s="40" t="s">
        <v>240</v>
      </c>
      <c r="C50" s="41" t="s">
        <v>155</v>
      </c>
      <c r="D50" s="48" t="s">
        <v>32</v>
      </c>
      <c r="E50" s="41" t="s">
        <v>241</v>
      </c>
      <c r="F50" s="41" t="s">
        <v>157</v>
      </c>
      <c r="G50" s="40" t="n">
        <v>12</v>
      </c>
      <c r="H50" s="40" t="n">
        <v>12</v>
      </c>
      <c r="I50" s="40" t="s">
        <v>158</v>
      </c>
      <c r="J50" s="40" t="s">
        <v>43</v>
      </c>
      <c r="K50" s="42" t="n">
        <f aca="false">0.01*16</f>
        <v>0.16</v>
      </c>
      <c r="L50" s="43" t="n">
        <f aca="false">IF(AND($J50="y",ISNUMBER(K50),ISNUMBER(H50)),(K50*H50)/16,"—")</f>
        <v>0.12</v>
      </c>
      <c r="M50" s="28" t="s">
        <v>32</v>
      </c>
      <c r="N50" s="40" t="s">
        <v>49</v>
      </c>
      <c r="O50" s="54" t="s">
        <v>32</v>
      </c>
      <c r="P50" s="40" t="s">
        <v>32</v>
      </c>
      <c r="Q50" s="54" t="str">
        <f aca="false">IF(AND($N50="y",ISNUMBER(O50),ISNUMBER(H50)),_xlfn.CEILING.MATH(H50/IF(ISNUMBER(P50),MAX(P50,1),1),1)*O50,"—")</f>
        <v>—</v>
      </c>
      <c r="R50" s="41" t="s">
        <v>159</v>
      </c>
      <c r="S50" s="48" t="s">
        <v>32</v>
      </c>
      <c r="T50" s="46" t="s">
        <v>160</v>
      </c>
    </row>
    <row r="51" customFormat="false" ht="28.35" hidden="false" customHeight="false" outlineLevel="0" collapsed="false">
      <c r="A51" s="24" t="n">
        <v>44</v>
      </c>
      <c r="B51" s="24" t="s">
        <v>242</v>
      </c>
      <c r="C51" s="25" t="s">
        <v>155</v>
      </c>
      <c r="D51" s="47" t="s">
        <v>32</v>
      </c>
      <c r="E51" s="25" t="s">
        <v>243</v>
      </c>
      <c r="F51" s="25" t="s">
        <v>244</v>
      </c>
      <c r="G51" s="24" t="n">
        <v>1</v>
      </c>
      <c r="H51" s="24" t="n">
        <v>6</v>
      </c>
      <c r="I51" s="24" t="s">
        <v>42</v>
      </c>
      <c r="J51" s="24" t="s">
        <v>43</v>
      </c>
      <c r="K51" s="26" t="n">
        <v>2.05</v>
      </c>
      <c r="L51" s="27" t="n">
        <f aca="false">IF(AND($J51="y",ISNUMBER(K51),ISNUMBER(H51)),(K51*H51)/16,"—")</f>
        <v>0.76875</v>
      </c>
      <c r="M51" s="69" t="n">
        <v>1.87</v>
      </c>
      <c r="N51" s="24" t="s">
        <v>49</v>
      </c>
      <c r="O51" s="53" t="s">
        <v>32</v>
      </c>
      <c r="P51" s="24" t="s">
        <v>32</v>
      </c>
      <c r="Q51" s="53" t="str">
        <f aca="false">IF(AND($N51="y",ISNUMBER(O51),ISNUMBER(H51)),_xlfn.CEILING.MATH(H51/IF(ISNUMBER(P51),MAX(P51,1),1),1)*O51,"—")</f>
        <v>—</v>
      </c>
      <c r="R51" s="25" t="s">
        <v>159</v>
      </c>
      <c r="S51" s="47" t="s">
        <v>32</v>
      </c>
      <c r="T51" s="30" t="s">
        <v>245</v>
      </c>
    </row>
    <row r="52" customFormat="false" ht="19.4" hidden="false" customHeight="false" outlineLevel="0" collapsed="false">
      <c r="A52" s="40" t="n">
        <v>45</v>
      </c>
      <c r="B52" s="40" t="s">
        <v>246</v>
      </c>
      <c r="C52" s="41" t="s">
        <v>247</v>
      </c>
      <c r="D52" s="41" t="s">
        <v>248</v>
      </c>
      <c r="E52" s="41" t="s">
        <v>249</v>
      </c>
      <c r="F52" s="41" t="s">
        <v>250</v>
      </c>
      <c r="G52" s="40" t="n">
        <v>1</v>
      </c>
      <c r="H52" s="40" t="n">
        <v>1</v>
      </c>
      <c r="I52" s="40" t="s">
        <v>31</v>
      </c>
      <c r="J52" s="40" t="s">
        <v>49</v>
      </c>
      <c r="K52" s="49" t="s">
        <v>32</v>
      </c>
      <c r="L52" s="50" t="str">
        <f aca="false">IF(AND($J52="y",ISNUMBER(K52),ISNUMBER(H52)),(K52*H52)/16,"—")</f>
        <v>—</v>
      </c>
      <c r="M52" s="28" t="s">
        <v>32</v>
      </c>
      <c r="N52" s="40" t="s">
        <v>43</v>
      </c>
      <c r="O52" s="44" t="n">
        <v>51.74</v>
      </c>
      <c r="P52" s="40" t="n">
        <v>1</v>
      </c>
      <c r="Q52" s="44" t="n">
        <f aca="false">IF(AND($N52="y",ISNUMBER(O52),ISNUMBER(H52)),_xlfn.CEILING.MATH(H52/IF(ISNUMBER(P52),MAX(P52,1),1),1)*O52,"—")</f>
        <v>51.74</v>
      </c>
      <c r="R52" s="41" t="s">
        <v>251</v>
      </c>
      <c r="S52" s="45" t="s">
        <v>252</v>
      </c>
      <c r="T52" s="46" t="s">
        <v>253</v>
      </c>
    </row>
    <row r="53" customFormat="false" ht="22.35" hidden="false" customHeight="false" outlineLevel="0" collapsed="false">
      <c r="A53" s="24" t="n">
        <v>46</v>
      </c>
      <c r="B53" s="24" t="s">
        <v>254</v>
      </c>
      <c r="C53" s="25" t="s">
        <v>155</v>
      </c>
      <c r="D53" s="47" t="s">
        <v>32</v>
      </c>
      <c r="E53" s="25" t="s">
        <v>255</v>
      </c>
      <c r="F53" s="25" t="s">
        <v>256</v>
      </c>
      <c r="G53" s="24" t="n">
        <v>1</v>
      </c>
      <c r="H53" s="24" t="n">
        <v>1</v>
      </c>
      <c r="I53" s="24" t="s">
        <v>31</v>
      </c>
      <c r="J53" s="24" t="s">
        <v>43</v>
      </c>
      <c r="K53" s="26" t="n">
        <v>0.5</v>
      </c>
      <c r="L53" s="27" t="n">
        <f aca="false">IF(AND($J53="y",ISNUMBER(K53),ISNUMBER(H53)),(K53*H53)/16,"—")</f>
        <v>0.03125</v>
      </c>
      <c r="M53" s="69" t="n">
        <v>0.21</v>
      </c>
      <c r="N53" s="24" t="s">
        <v>43</v>
      </c>
      <c r="O53" s="29" t="n">
        <v>0</v>
      </c>
      <c r="P53" s="24" t="n">
        <v>1</v>
      </c>
      <c r="Q53" s="29" t="n">
        <f aca="false">IF(AND($N53="y",ISNUMBER(O53),ISNUMBER(H53)),_xlfn.CEILING.MATH(H53/IF(ISNUMBER(P53),MAX(P53,1),1),1)*O53,"—")</f>
        <v>0</v>
      </c>
      <c r="R53" s="25" t="s">
        <v>173</v>
      </c>
      <c r="S53" s="47" t="s">
        <v>32</v>
      </c>
      <c r="T53" s="30" t="s">
        <v>257</v>
      </c>
    </row>
    <row r="54" customFormat="false" ht="22.35" hidden="false" customHeight="false" outlineLevel="0" collapsed="false">
      <c r="A54" s="40" t="n">
        <v>47</v>
      </c>
      <c r="B54" s="40" t="s">
        <v>258</v>
      </c>
      <c r="C54" s="41" t="s">
        <v>57</v>
      </c>
      <c r="D54" s="41" t="s">
        <v>259</v>
      </c>
      <c r="E54" s="41" t="s">
        <v>260</v>
      </c>
      <c r="F54" s="41" t="s">
        <v>261</v>
      </c>
      <c r="G54" s="40" t="n">
        <v>1</v>
      </c>
      <c r="H54" s="40" t="n">
        <v>1</v>
      </c>
      <c r="I54" s="40" t="s">
        <v>31</v>
      </c>
      <c r="J54" s="40" t="s">
        <v>49</v>
      </c>
      <c r="K54" s="49" t="s">
        <v>32</v>
      </c>
      <c r="L54" s="50" t="str">
        <f aca="false">IF(AND($J54="y",ISNUMBER(K54),ISNUMBER(H54)),(K54*H54)/16,"—")</f>
        <v>—</v>
      </c>
      <c r="M54" s="28" t="s">
        <v>32</v>
      </c>
      <c r="N54" s="40" t="s">
        <v>43</v>
      </c>
      <c r="O54" s="44" t="n">
        <v>2.69</v>
      </c>
      <c r="P54" s="40" t="n">
        <v>1</v>
      </c>
      <c r="Q54" s="44" t="n">
        <f aca="false">IF(AND($N54="y",ISNUMBER(O54),ISNUMBER(H54)),_xlfn.CEILING.MATH(H54/IF(ISNUMBER(P54),MAX(P54,1),1),1)*O54,"—")</f>
        <v>2.69</v>
      </c>
      <c r="R54" s="41" t="s">
        <v>57</v>
      </c>
      <c r="S54" s="45" t="s">
        <v>262</v>
      </c>
      <c r="T54" s="46" t="s">
        <v>263</v>
      </c>
    </row>
    <row r="55" customFormat="false" ht="22.35" hidden="false" customHeight="false" outlineLevel="0" collapsed="false">
      <c r="A55" s="24" t="n">
        <v>48</v>
      </c>
      <c r="B55" s="24" t="s">
        <v>264</v>
      </c>
      <c r="C55" s="25" t="s">
        <v>155</v>
      </c>
      <c r="D55" s="47" t="s">
        <v>32</v>
      </c>
      <c r="E55" s="25" t="s">
        <v>265</v>
      </c>
      <c r="F55" s="25" t="s">
        <v>266</v>
      </c>
      <c r="G55" s="24" t="n">
        <v>1</v>
      </c>
      <c r="H55" s="24" t="n">
        <v>6</v>
      </c>
      <c r="I55" s="24" t="s">
        <v>42</v>
      </c>
      <c r="J55" s="24" t="s">
        <v>43</v>
      </c>
      <c r="K55" s="26" t="n">
        <v>0.1</v>
      </c>
      <c r="L55" s="27" t="n">
        <f aca="false">IF(AND($J55="y",ISNUMBER(K55),ISNUMBER(H55)),(K55*H55)/16,"—")</f>
        <v>0.0375</v>
      </c>
      <c r="M55" s="51" t="s">
        <v>32</v>
      </c>
      <c r="N55" s="24" t="s">
        <v>49</v>
      </c>
      <c r="O55" s="53" t="s">
        <v>32</v>
      </c>
      <c r="P55" s="24" t="s">
        <v>32</v>
      </c>
      <c r="Q55" s="53" t="str">
        <f aca="false">IF(AND($N55="y",ISNUMBER(O55),ISNUMBER(H55)),_xlfn.CEILING.MATH(H55/IF(ISNUMBER(P55),MAX(P55,1),1),1)*O55,"—")</f>
        <v>—</v>
      </c>
      <c r="R55" s="25" t="s">
        <v>173</v>
      </c>
      <c r="S55" s="47" t="s">
        <v>32</v>
      </c>
      <c r="T55" s="30" t="s">
        <v>267</v>
      </c>
    </row>
    <row r="56" customFormat="false" ht="19.4" hidden="false" customHeight="false" outlineLevel="0" collapsed="false">
      <c r="A56" s="40" t="n">
        <v>49</v>
      </c>
      <c r="B56" s="40" t="s">
        <v>268</v>
      </c>
      <c r="C56" s="41" t="s">
        <v>269</v>
      </c>
      <c r="D56" s="41" t="s">
        <v>270</v>
      </c>
      <c r="E56" s="41" t="s">
        <v>271</v>
      </c>
      <c r="F56" s="41" t="s">
        <v>272</v>
      </c>
      <c r="G56" s="40" t="n">
        <v>1</v>
      </c>
      <c r="H56" s="40" t="n">
        <v>1</v>
      </c>
      <c r="I56" s="40" t="s">
        <v>31</v>
      </c>
      <c r="J56" s="40" t="s">
        <v>49</v>
      </c>
      <c r="K56" s="42" t="n">
        <v>11.45</v>
      </c>
      <c r="L56" s="50" t="str">
        <f aca="false">IF(AND($J56="y",ISNUMBER(K56),ISNUMBER(H56)),(K56*H56)/16,"—")</f>
        <v>—</v>
      </c>
      <c r="M56" s="28" t="s">
        <v>32</v>
      </c>
      <c r="N56" s="40" t="s">
        <v>43</v>
      </c>
      <c r="O56" s="44" t="n">
        <v>69.99</v>
      </c>
      <c r="P56" s="40" t="n">
        <v>1</v>
      </c>
      <c r="Q56" s="44" t="n">
        <f aca="false">IF(AND($N56="y",ISNUMBER(O56),ISNUMBER(H56)),_xlfn.CEILING.MATH(H56/IF(ISNUMBER(P56),MAX(P56,1),1),1)*O56,"—")</f>
        <v>69.99</v>
      </c>
      <c r="R56" s="41" t="s">
        <v>273</v>
      </c>
      <c r="S56" s="48" t="s">
        <v>32</v>
      </c>
      <c r="T56" s="46" t="s">
        <v>274</v>
      </c>
    </row>
    <row r="57" customFormat="false" ht="28.35" hidden="false" customHeight="false" outlineLevel="0" collapsed="false">
      <c r="A57" s="24" t="n">
        <v>50</v>
      </c>
      <c r="B57" s="24" t="s">
        <v>275</v>
      </c>
      <c r="C57" s="25" t="s">
        <v>155</v>
      </c>
      <c r="D57" s="47" t="s">
        <v>32</v>
      </c>
      <c r="E57" s="25" t="s">
        <v>276</v>
      </c>
      <c r="F57" s="25" t="s">
        <v>256</v>
      </c>
      <c r="G57" s="24" t="n">
        <v>5</v>
      </c>
      <c r="H57" s="24" t="n">
        <v>5</v>
      </c>
      <c r="I57" s="24" t="s">
        <v>31</v>
      </c>
      <c r="J57" s="24" t="s">
        <v>43</v>
      </c>
      <c r="K57" s="26" t="n">
        <v>0.2</v>
      </c>
      <c r="L57" s="27" t="n">
        <f aca="false">IF(AND($J57="y",ISNUMBER(K57),ISNUMBER(H57)),(K57*H57)/16,"—")</f>
        <v>0.0625</v>
      </c>
      <c r="M57" s="69" t="n">
        <f aca="false">0.2*5</f>
        <v>1</v>
      </c>
      <c r="N57" s="24" t="s">
        <v>43</v>
      </c>
      <c r="O57" s="29" t="n">
        <v>0</v>
      </c>
      <c r="P57" s="24" t="n">
        <v>1</v>
      </c>
      <c r="Q57" s="29" t="n">
        <f aca="false">IF(AND($N57="y",ISNUMBER(O57),ISNUMBER(H57)),_xlfn.CEILING.MATH(H57/IF(ISNUMBER(P57),MAX(P57,1),1),1)*O57,"—")</f>
        <v>0</v>
      </c>
      <c r="R57" s="25" t="s">
        <v>173</v>
      </c>
      <c r="S57" s="47" t="s">
        <v>32</v>
      </c>
      <c r="T57" s="30" t="s">
        <v>277</v>
      </c>
    </row>
    <row r="58" customFormat="false" ht="32.8" hidden="false" customHeight="false" outlineLevel="0" collapsed="false">
      <c r="A58" s="40" t="n">
        <v>51</v>
      </c>
      <c r="B58" s="40" t="s">
        <v>278</v>
      </c>
      <c r="C58" s="41" t="s">
        <v>279</v>
      </c>
      <c r="D58" s="41" t="s">
        <v>280</v>
      </c>
      <c r="E58" s="41" t="s">
        <v>281</v>
      </c>
      <c r="F58" s="41" t="s">
        <v>282</v>
      </c>
      <c r="G58" s="40" t="n">
        <v>1</v>
      </c>
      <c r="H58" s="40" t="n">
        <v>1</v>
      </c>
      <c r="I58" s="40" t="s">
        <v>283</v>
      </c>
      <c r="J58" s="40" t="s">
        <v>49</v>
      </c>
      <c r="K58" s="49" t="s">
        <v>32</v>
      </c>
      <c r="L58" s="50" t="str">
        <f aca="false">IF(AND($J58="y",ISNUMBER(K58),ISNUMBER(H58)),(K58*H58)/16,"—")</f>
        <v>—</v>
      </c>
      <c r="M58" s="28" t="s">
        <v>32</v>
      </c>
      <c r="N58" s="40" t="s">
        <v>43</v>
      </c>
      <c r="O58" s="44" t="n">
        <v>41.51</v>
      </c>
      <c r="P58" s="40" t="n">
        <v>1</v>
      </c>
      <c r="Q58" s="44" t="n">
        <f aca="false">IF(AND($N58="y",ISNUMBER(O58),ISNUMBER(H58)),_xlfn.CEILING.MATH(H58/IF(ISNUMBER(P58),MAX(P58,1),1),1)*O58,"—")</f>
        <v>41.51</v>
      </c>
      <c r="R58" s="41" t="s">
        <v>279</v>
      </c>
      <c r="S58" s="45" t="s">
        <v>284</v>
      </c>
      <c r="T58" s="46" t="s">
        <v>285</v>
      </c>
    </row>
    <row r="59" customFormat="false" ht="19.4" hidden="false" customHeight="false" outlineLevel="0" collapsed="false">
      <c r="A59" s="55" t="n">
        <v>52</v>
      </c>
      <c r="B59" s="55" t="s">
        <v>283</v>
      </c>
      <c r="C59" s="56" t="s">
        <v>155</v>
      </c>
      <c r="D59" s="57" t="s">
        <v>32</v>
      </c>
      <c r="E59" s="56" t="s">
        <v>286</v>
      </c>
      <c r="F59" s="56" t="s">
        <v>287</v>
      </c>
      <c r="G59" s="55" t="n">
        <v>1</v>
      </c>
      <c r="H59" s="55" t="n">
        <v>1</v>
      </c>
      <c r="I59" s="55" t="s">
        <v>31</v>
      </c>
      <c r="J59" s="55" t="s">
        <v>49</v>
      </c>
      <c r="K59" s="58" t="s">
        <v>32</v>
      </c>
      <c r="L59" s="59" t="str">
        <f aca="false">IF(AND($J59="y",ISNUMBER(K59),ISNUMBER(H59)),(K59*H59)/16,"—")</f>
        <v>—</v>
      </c>
      <c r="M59" s="63" t="s">
        <v>32</v>
      </c>
      <c r="N59" s="55" t="s">
        <v>49</v>
      </c>
      <c r="O59" s="61" t="s">
        <v>32</v>
      </c>
      <c r="P59" s="55" t="s">
        <v>32</v>
      </c>
      <c r="Q59" s="61" t="str">
        <f aca="false">IF(AND($N59="y",ISNUMBER(O59),ISNUMBER(H59)),_xlfn.CEILING.MATH(H59/IF(ISNUMBER(P59),MAX(P59,1),1),1)*O59,"—")</f>
        <v>—</v>
      </c>
      <c r="R59" s="56" t="s">
        <v>159</v>
      </c>
      <c r="S59" s="57" t="s">
        <v>32</v>
      </c>
      <c r="T59" s="62" t="s">
        <v>288</v>
      </c>
    </row>
    <row r="60" customFormat="false" ht="28.35" hidden="false" customHeight="false" outlineLevel="0" collapsed="false">
      <c r="A60" s="40" t="n">
        <v>53</v>
      </c>
      <c r="B60" s="40" t="s">
        <v>289</v>
      </c>
      <c r="C60" s="41" t="s">
        <v>290</v>
      </c>
      <c r="D60" s="48" t="s">
        <v>32</v>
      </c>
      <c r="E60" s="41" t="s">
        <v>291</v>
      </c>
      <c r="F60" s="41" t="s">
        <v>292</v>
      </c>
      <c r="G60" s="40" t="n">
        <v>3</v>
      </c>
      <c r="H60" s="40" t="n">
        <v>3</v>
      </c>
      <c r="I60" s="40" t="s">
        <v>283</v>
      </c>
      <c r="J60" s="40" t="s">
        <v>49</v>
      </c>
      <c r="K60" s="49" t="s">
        <v>32</v>
      </c>
      <c r="L60" s="50" t="str">
        <f aca="false">IF(AND($J60="y",ISNUMBER(K60),ISNUMBER(H60)),(K60*H60)/16,"—")</f>
        <v>—</v>
      </c>
      <c r="M60" s="28" t="s">
        <v>32</v>
      </c>
      <c r="N60" s="40" t="s">
        <v>43</v>
      </c>
      <c r="O60" s="44" t="n">
        <v>5</v>
      </c>
      <c r="P60" s="40" t="n">
        <v>1</v>
      </c>
      <c r="Q60" s="44" t="n">
        <f aca="false">IF(AND($N60="y",ISNUMBER(O60),ISNUMBER(H60)),_xlfn.CEILING.MATH(H60/IF(ISNUMBER(P60),MAX(P60,1),1),1)*O60,"—")</f>
        <v>15</v>
      </c>
      <c r="R60" s="41" t="s">
        <v>290</v>
      </c>
      <c r="S60" s="48" t="s">
        <v>32</v>
      </c>
      <c r="T60" s="46" t="s">
        <v>293</v>
      </c>
    </row>
    <row r="61" customFormat="false" ht="28.35" hidden="false" customHeight="false" outlineLevel="0" collapsed="false">
      <c r="A61" s="24" t="n">
        <v>54</v>
      </c>
      <c r="B61" s="24" t="s">
        <v>294</v>
      </c>
      <c r="C61" s="25" t="s">
        <v>290</v>
      </c>
      <c r="D61" s="47" t="s">
        <v>32</v>
      </c>
      <c r="E61" s="25" t="s">
        <v>295</v>
      </c>
      <c r="F61" s="25" t="s">
        <v>296</v>
      </c>
      <c r="G61" s="24" t="n">
        <v>2</v>
      </c>
      <c r="H61" s="24" t="n">
        <v>2</v>
      </c>
      <c r="I61" s="24" t="s">
        <v>283</v>
      </c>
      <c r="J61" s="24" t="s">
        <v>49</v>
      </c>
      <c r="K61" s="64" t="s">
        <v>32</v>
      </c>
      <c r="L61" s="52" t="str">
        <f aca="false">IF(AND($J61="y",ISNUMBER(K61),ISNUMBER(H61)),(K61*H61)/16,"—")</f>
        <v>—</v>
      </c>
      <c r="M61" s="51" t="s">
        <v>32</v>
      </c>
      <c r="N61" s="24" t="s">
        <v>43</v>
      </c>
      <c r="O61" s="29" t="n">
        <v>5</v>
      </c>
      <c r="P61" s="24" t="n">
        <v>1</v>
      </c>
      <c r="Q61" s="29" t="n">
        <f aca="false">IF(AND($N61="y",ISNUMBER(O61),ISNUMBER(H61)),_xlfn.CEILING.MATH(H61/IF(ISNUMBER(P61),MAX(P61,1),1),1)*O61,"—")</f>
        <v>10</v>
      </c>
      <c r="R61" s="25" t="s">
        <v>290</v>
      </c>
      <c r="S61" s="47" t="s">
        <v>32</v>
      </c>
      <c r="T61" s="30" t="s">
        <v>293</v>
      </c>
    </row>
    <row r="62" customFormat="false" ht="28.35" hidden="false" customHeight="false" outlineLevel="0" collapsed="false">
      <c r="A62" s="40" t="n">
        <v>55</v>
      </c>
      <c r="B62" s="40" t="s">
        <v>297</v>
      </c>
      <c r="C62" s="41" t="s">
        <v>290</v>
      </c>
      <c r="D62" s="48" t="s">
        <v>32</v>
      </c>
      <c r="E62" s="41" t="s">
        <v>298</v>
      </c>
      <c r="F62" s="41" t="s">
        <v>299</v>
      </c>
      <c r="G62" s="40" t="n">
        <v>1</v>
      </c>
      <c r="H62" s="40" t="n">
        <v>1</v>
      </c>
      <c r="I62" s="40" t="s">
        <v>283</v>
      </c>
      <c r="J62" s="40" t="s">
        <v>49</v>
      </c>
      <c r="K62" s="49" t="s">
        <v>32</v>
      </c>
      <c r="L62" s="50" t="str">
        <f aca="false">IF(AND($J62="y",ISNUMBER(K62),ISNUMBER(H62)),(K62*H62)/16,"—")</f>
        <v>—</v>
      </c>
      <c r="M62" s="28" t="s">
        <v>32</v>
      </c>
      <c r="N62" s="40" t="s">
        <v>43</v>
      </c>
      <c r="O62" s="44" t="n">
        <v>5</v>
      </c>
      <c r="P62" s="40" t="n">
        <v>1</v>
      </c>
      <c r="Q62" s="44" t="n">
        <f aca="false">IF(AND($N62="y",ISNUMBER(O62),ISNUMBER(H62)),_xlfn.CEILING.MATH(H62/IF(ISNUMBER(P62),MAX(P62,1),1),1)*O62,"—")</f>
        <v>5</v>
      </c>
      <c r="R62" s="41" t="s">
        <v>290</v>
      </c>
      <c r="S62" s="48" t="s">
        <v>32</v>
      </c>
      <c r="T62" s="46" t="s">
        <v>293</v>
      </c>
    </row>
    <row r="63" customFormat="false" ht="28.35" hidden="false" customHeight="false" outlineLevel="0" collapsed="false">
      <c r="A63" s="24" t="n">
        <v>56</v>
      </c>
      <c r="B63" s="24" t="s">
        <v>300</v>
      </c>
      <c r="C63" s="25" t="s">
        <v>290</v>
      </c>
      <c r="D63" s="47" t="s">
        <v>32</v>
      </c>
      <c r="E63" s="25" t="s">
        <v>301</v>
      </c>
      <c r="F63" s="25" t="s">
        <v>302</v>
      </c>
      <c r="G63" s="24" t="n">
        <v>3</v>
      </c>
      <c r="H63" s="24" t="n">
        <v>3</v>
      </c>
      <c r="I63" s="24" t="s">
        <v>283</v>
      </c>
      <c r="J63" s="24" t="s">
        <v>49</v>
      </c>
      <c r="K63" s="64" t="s">
        <v>32</v>
      </c>
      <c r="L63" s="52" t="str">
        <f aca="false">IF(AND($J63="y",ISNUMBER(K63),ISNUMBER(H63)),(K63*H63)/16,"—")</f>
        <v>—</v>
      </c>
      <c r="M63" s="51" t="s">
        <v>32</v>
      </c>
      <c r="N63" s="24" t="s">
        <v>43</v>
      </c>
      <c r="O63" s="29" t="n">
        <v>5</v>
      </c>
      <c r="P63" s="24" t="n">
        <v>1</v>
      </c>
      <c r="Q63" s="29" t="n">
        <f aca="false">IF(AND($N63="y",ISNUMBER(O63),ISNUMBER(H63)),_xlfn.CEILING.MATH(H63/IF(ISNUMBER(P63),MAX(P63,1),1),1)*O63,"—")</f>
        <v>15</v>
      </c>
      <c r="R63" s="25" t="s">
        <v>290</v>
      </c>
      <c r="S63" s="47" t="s">
        <v>32</v>
      </c>
      <c r="T63" s="30" t="s">
        <v>293</v>
      </c>
    </row>
    <row r="64" customFormat="false" ht="28.35" hidden="false" customHeight="false" outlineLevel="0" collapsed="false">
      <c r="A64" s="40" t="n">
        <v>57</v>
      </c>
      <c r="B64" s="40" t="s">
        <v>303</v>
      </c>
      <c r="C64" s="41" t="s">
        <v>290</v>
      </c>
      <c r="D64" s="48" t="s">
        <v>32</v>
      </c>
      <c r="E64" s="41" t="s">
        <v>304</v>
      </c>
      <c r="F64" s="41" t="s">
        <v>305</v>
      </c>
      <c r="G64" s="40" t="n">
        <v>3</v>
      </c>
      <c r="H64" s="40" t="n">
        <v>3</v>
      </c>
      <c r="I64" s="40" t="s">
        <v>283</v>
      </c>
      <c r="J64" s="40" t="s">
        <v>49</v>
      </c>
      <c r="K64" s="49" t="s">
        <v>32</v>
      </c>
      <c r="L64" s="50" t="str">
        <f aca="false">IF(AND($J64="y",ISNUMBER(K64),ISNUMBER(H64)),(K64*H64)/16,"—")</f>
        <v>—</v>
      </c>
      <c r="M64" s="28" t="s">
        <v>32</v>
      </c>
      <c r="N64" s="40" t="s">
        <v>43</v>
      </c>
      <c r="O64" s="44" t="n">
        <v>5</v>
      </c>
      <c r="P64" s="40" t="n">
        <v>1</v>
      </c>
      <c r="Q64" s="44" t="n">
        <f aca="false">IF(AND($N64="y",ISNUMBER(O64),ISNUMBER(H64)),_xlfn.CEILING.MATH(H64/IF(ISNUMBER(P64),MAX(P64,1),1),1)*O64,"—")</f>
        <v>15</v>
      </c>
      <c r="R64" s="41" t="s">
        <v>290</v>
      </c>
      <c r="S64" s="48" t="s">
        <v>32</v>
      </c>
      <c r="T64" s="46" t="s">
        <v>293</v>
      </c>
    </row>
    <row r="65" customFormat="false" ht="28.35" hidden="false" customHeight="false" outlineLevel="0" collapsed="false">
      <c r="A65" s="24" t="n">
        <v>58</v>
      </c>
      <c r="B65" s="24" t="s">
        <v>306</v>
      </c>
      <c r="C65" s="25" t="s">
        <v>307</v>
      </c>
      <c r="D65" s="25" t="s">
        <v>308</v>
      </c>
      <c r="E65" s="25" t="s">
        <v>309</v>
      </c>
      <c r="F65" s="25" t="s">
        <v>310</v>
      </c>
      <c r="G65" s="24" t="n">
        <v>1</v>
      </c>
      <c r="H65" s="24" t="n">
        <v>1</v>
      </c>
      <c r="I65" s="24" t="s">
        <v>31</v>
      </c>
      <c r="J65" s="24" t="s">
        <v>43</v>
      </c>
      <c r="K65" s="26" t="n">
        <v>13.69</v>
      </c>
      <c r="L65" s="27" t="n">
        <f aca="false">IF(AND($J65="y",ISNUMBER(K65),ISNUMBER(H65)),(K65*H65)/16,"—")</f>
        <v>0.855625</v>
      </c>
      <c r="M65" s="69" t="n">
        <f aca="false">0.036*1.89*4.37*1.49</f>
        <v>0.443028852</v>
      </c>
      <c r="N65" s="24" t="s">
        <v>49</v>
      </c>
      <c r="O65" s="29" t="n">
        <v>222</v>
      </c>
      <c r="P65" s="24" t="n">
        <v>1</v>
      </c>
      <c r="Q65" s="53" t="str">
        <f aca="false">IF(AND($N65="y",ISNUMBER(O65),ISNUMBER(H65)),_xlfn.CEILING.MATH(H65/IF(ISNUMBER(P65),MAX(P65,1),1),1)*O65,"—")</f>
        <v>—</v>
      </c>
      <c r="R65" s="25" t="s">
        <v>307</v>
      </c>
      <c r="S65" s="39" t="s">
        <v>311</v>
      </c>
      <c r="T65" s="30" t="s">
        <v>312</v>
      </c>
    </row>
    <row r="66" customFormat="false" ht="32.8" hidden="false" customHeight="false" outlineLevel="0" collapsed="false">
      <c r="A66" s="40" t="n">
        <v>59</v>
      </c>
      <c r="B66" s="40" t="s">
        <v>313</v>
      </c>
      <c r="C66" s="41" t="s">
        <v>155</v>
      </c>
      <c r="D66" s="48" t="s">
        <v>32</v>
      </c>
      <c r="E66" s="41" t="s">
        <v>314</v>
      </c>
      <c r="F66" s="41" t="s">
        <v>315</v>
      </c>
      <c r="G66" s="40" t="n">
        <v>1</v>
      </c>
      <c r="H66" s="40" t="n">
        <v>1</v>
      </c>
      <c r="I66" s="40" t="s">
        <v>31</v>
      </c>
      <c r="J66" s="40" t="s">
        <v>43</v>
      </c>
      <c r="K66" s="42" t="n">
        <f aca="false">0.05*16</f>
        <v>0.8</v>
      </c>
      <c r="L66" s="43" t="n">
        <f aca="false">IF(AND($J66="y",ISNUMBER(K66),ISNUMBER(H66)),(K66*H66)/16,"—")</f>
        <v>0.05</v>
      </c>
      <c r="M66" s="70" t="n">
        <v>3.37</v>
      </c>
      <c r="N66" s="40" t="s">
        <v>49</v>
      </c>
      <c r="O66" s="54" t="s">
        <v>32</v>
      </c>
      <c r="P66" s="40" t="s">
        <v>32</v>
      </c>
      <c r="Q66" s="54" t="str">
        <f aca="false">IF(AND($N66="y",ISNUMBER(O66),ISNUMBER(H66)),_xlfn.CEILING.MATH(H66/IF(ISNUMBER(P66),MAX(P66,1),1),1)*O66,"—")</f>
        <v>—</v>
      </c>
      <c r="R66" s="41" t="s">
        <v>159</v>
      </c>
      <c r="S66" s="48" t="s">
        <v>32</v>
      </c>
      <c r="T66" s="46" t="s">
        <v>316</v>
      </c>
    </row>
    <row r="67" customFormat="false" ht="22.35" hidden="false" customHeight="false" outlineLevel="0" collapsed="false">
      <c r="A67" s="24" t="n">
        <v>60</v>
      </c>
      <c r="B67" s="24" t="s">
        <v>317</v>
      </c>
      <c r="C67" s="25" t="s">
        <v>155</v>
      </c>
      <c r="D67" s="47" t="s">
        <v>32</v>
      </c>
      <c r="E67" s="25" t="s">
        <v>318</v>
      </c>
      <c r="F67" s="25" t="s">
        <v>319</v>
      </c>
      <c r="G67" s="24" t="n">
        <v>6</v>
      </c>
      <c r="H67" s="24" t="n">
        <v>12</v>
      </c>
      <c r="I67" s="24" t="s">
        <v>283</v>
      </c>
      <c r="J67" s="24" t="s">
        <v>49</v>
      </c>
      <c r="K67" s="64" t="s">
        <v>32</v>
      </c>
      <c r="L67" s="52" t="str">
        <f aca="false">IF(AND($J67="y",ISNUMBER(K67),ISNUMBER(H67)),(K67*H67)/16,"—")</f>
        <v>—</v>
      </c>
      <c r="M67" s="51" t="s">
        <v>32</v>
      </c>
      <c r="N67" s="24" t="s">
        <v>43</v>
      </c>
      <c r="O67" s="29" t="n">
        <v>0</v>
      </c>
      <c r="P67" s="24" t="n">
        <v>1</v>
      </c>
      <c r="Q67" s="29" t="n">
        <f aca="false">IF(AND($N67="y",ISNUMBER(O67),ISNUMBER(H67)),_xlfn.CEILING.MATH(H67/IF(ISNUMBER(P67),MAX(P67,1),1),1)*O67,"—")</f>
        <v>0</v>
      </c>
      <c r="R67" s="25" t="s">
        <v>173</v>
      </c>
      <c r="S67" s="47" t="s">
        <v>32</v>
      </c>
      <c r="T67" s="30" t="s">
        <v>320</v>
      </c>
    </row>
  </sheetData>
  <autoFilter ref="A7:T67"/>
  <mergeCells count="15">
    <mergeCell ref="A1:M1"/>
    <mergeCell ref="N1:T1"/>
    <mergeCell ref="A2:G2"/>
    <mergeCell ref="H2:M2"/>
    <mergeCell ref="N2:T2"/>
    <mergeCell ref="A3:G3"/>
    <mergeCell ref="H3:M3"/>
    <mergeCell ref="N3:T3"/>
    <mergeCell ref="A4:G4"/>
    <mergeCell ref="A5:T5"/>
    <mergeCell ref="A6:F6"/>
    <mergeCell ref="G6:I6"/>
    <mergeCell ref="J6:M6"/>
    <mergeCell ref="N6:Q6"/>
    <mergeCell ref="R6:T6"/>
  </mergeCells>
  <hyperlinks>
    <hyperlink ref="S11" r:id="rId1" display="lumenier.com"/>
    <hyperlink ref="S12" r:id="rId2" display="apcprop.com/10x4-7sf-b4"/>
    <hyperlink ref="S13" r:id="rId3" display="store.3dr.com"/>
    <hyperlink ref="S14" r:id="rId4" display="docs.mrobotics.io/acsp4.html"/>
    <hyperlink ref="S19" r:id="rId5" display="radiomasterrc.com"/>
    <hyperlink ref="S20" r:id="rId6" display="radiomasterrc.com"/>
    <hyperlink ref="S21" r:id="rId7" display="racedayquads.com"/>
    <hyperlink ref="S22" r:id="rId8" display="racedayquads.com"/>
    <hyperlink ref="S23" r:id="rId9" display="racedayquads.com"/>
    <hyperlink ref="S24" r:id="rId10" display="mcmaster.com/4083A11"/>
    <hyperlink ref="S25" r:id="rId11" display="mcmaster.com/3035T12"/>
    <hyperlink ref="S26" r:id="rId12" display="mcmaster.com/93886A140"/>
    <hyperlink ref="S27" r:id="rId13" display="dragonplate.com"/>
    <hyperlink ref="S28" r:id="rId14" display="dragonplate.com"/>
    <hyperlink ref="S36" r:id="rId15" display="mcmaster.com/95856A245"/>
    <hyperlink ref="S37" r:id="rId16" display="mcmaster.com/8127A81"/>
    <hyperlink ref="S38" r:id="rId17" display="mcmaster.com/93505A103"/>
    <hyperlink ref="S39" r:id="rId18" display="mcmaster.com/93181A007"/>
    <hyperlink ref="S40" r:id="rId19" display="mcmaster.com/93181A003"/>
    <hyperlink ref="S41" r:id="rId20" display="mcmaster.com/98511A213"/>
    <hyperlink ref="S42" r:id="rId21" display="mcmaster.com/98511A303"/>
    <hyperlink ref="S43" r:id="rId22" display="mcmaster.com/93306A911"/>
    <hyperlink ref="S44" r:id="rId23" display="mcmaster.com/93505A446"/>
    <hyperlink ref="S52" r:id="rId24" display="matterhackers.com/MCN26S16"/>
    <hyperlink ref="S54" r:id="rId25" display="apcprop.com"/>
    <hyperlink ref="S58" r:id="rId26" display="eagle.justrite.com"/>
    <hyperlink ref="S65" r:id="rId27" display="maxamps.com"/>
  </hyperlinks>
  <printOptions headings="false" gridLines="false" gridLinesSet="true" horizontalCentered="false" verticalCentered="false"/>
  <pageMargins left="0.35" right="0.35" top="0.4" bottom="0.4" header="0.511811023622047" footer="0.511811023622047"/>
  <pageSetup paperSize="1" scale="100" fitToWidth="2" fitToHeight="0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lastPrinted>2026-08-06T22:33:49Z</cp:lastPrinted>
  <dcterms:modified xsi:type="dcterms:W3CDTF">2026-08-06T21:46:16Z</dcterms:modified>
  <cp:revision>22</cp:revision>
  <dc:subject/>
  <dc:title/>
</cp:coreProperties>
</file>